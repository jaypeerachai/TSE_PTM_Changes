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pbanyongrakkul/Documents/GitHub/TSE_PTM_Changes/data_analysis/"/>
    </mc:Choice>
  </mc:AlternateContent>
  <xr:revisionPtr revIDLastSave="0" documentId="13_ncr:1_{23E5403D-F5BF-D84F-9CF5-0C0CC450E199}" xr6:coauthVersionLast="47" xr6:coauthVersionMax="47" xr10:uidLastSave="{00000000-0000-0000-0000-000000000000}"/>
  <bookViews>
    <workbookView xWindow="0" yWindow="680" windowWidth="30240" windowHeight="17840" firstSheet="1" activeTab="5" xr2:uid="{00000000-000D-0000-FFFF-FFFF00000000}"/>
  </bookViews>
  <sheets>
    <sheet name="overview" sheetId="7" r:id="rId1"/>
    <sheet name="key information" sheetId="6" r:id="rId2"/>
    <sheet name="codes" sheetId="5" r:id="rId3"/>
    <sheet name="sub-themes" sheetId="2" r:id="rId4"/>
    <sheet name="themes" sheetId="3" r:id="rId5"/>
    <sheet name="comparison" sheetId="9" r:id="rId6"/>
    <sheet name="He et al. (2021)" sheetId="10" r:id="rId7"/>
    <sheet name="Teyton et al. (2014)" sheetId="11" r:id="rId8"/>
    <sheet name="Kabinna et al. (2016)" sheetId="12" r:id="rId9"/>
    <sheet name="Barbosa et al. (2022)" sheetId="13" r:id="rId10"/>
    <sheet name="Jaisri et al. (2025)" sheetId="14" r:id="rId11"/>
    <sheet name="Bavota et al. (2015)" sheetId="15" r:id="rId12"/>
  </sheets>
  <definedNames>
    <definedName name="_xlnm._FilterDatabase" localSheetId="2" hidden="1">codes!$F$1:$F$71</definedName>
    <definedName name="_xlnm._FilterDatabase" localSheetId="1" hidden="1">'key information'!$X$1:$Z$220</definedName>
    <definedName name="_xlnm._FilterDatabase" localSheetId="3" hidden="1">'sub-themes'!$H$1:$H$21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2" i="5"/>
  <c r="B11" i="7"/>
  <c r="B10" i="7"/>
  <c r="B9" i="7"/>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 i="6"/>
  <c r="Y9" i="6"/>
  <c r="Z9" i="6" s="1"/>
  <c r="U9" i="6" s="1"/>
  <c r="Y10" i="6"/>
  <c r="Z10" i="6" s="1"/>
  <c r="U10" i="6" s="1"/>
  <c r="Y11" i="6"/>
  <c r="Z11" i="6" s="1"/>
  <c r="U11" i="6" s="1"/>
  <c r="Y12" i="6"/>
  <c r="Z12" i="6" s="1"/>
  <c r="U12" i="6" s="1"/>
  <c r="Y13" i="6"/>
  <c r="Z13" i="6" s="1"/>
  <c r="U13" i="6" s="1"/>
  <c r="Y14" i="6"/>
  <c r="Z14" i="6" s="1"/>
  <c r="U14" i="6" s="1"/>
  <c r="Y15" i="6"/>
  <c r="Z15" i="6" s="1"/>
  <c r="U15" i="6" s="1"/>
  <c r="Y16" i="6"/>
  <c r="Z16" i="6" s="1"/>
  <c r="U16" i="6" s="1"/>
  <c r="Y17" i="6"/>
  <c r="Z17" i="6" s="1"/>
  <c r="U17" i="6" s="1"/>
  <c r="Y18" i="6"/>
  <c r="Z18" i="6" s="1"/>
  <c r="U18" i="6" s="1"/>
  <c r="Y19" i="6"/>
  <c r="Z19" i="6" s="1"/>
  <c r="U19" i="6" s="1"/>
  <c r="Y20" i="6"/>
  <c r="Z20" i="6" s="1"/>
  <c r="U20" i="6" s="1"/>
  <c r="Y21" i="6"/>
  <c r="Z21" i="6" s="1"/>
  <c r="U21" i="6" s="1"/>
  <c r="Y22" i="6"/>
  <c r="Z22" i="6" s="1"/>
  <c r="U22" i="6" s="1"/>
  <c r="Y23" i="6"/>
  <c r="Z23" i="6" s="1"/>
  <c r="U23" i="6" s="1"/>
  <c r="Y24" i="6"/>
  <c r="Z24" i="6" s="1"/>
  <c r="U24" i="6" s="1"/>
  <c r="Y25" i="6"/>
  <c r="Z25" i="6" s="1"/>
  <c r="U25" i="6" s="1"/>
  <c r="Y26" i="6"/>
  <c r="Z26" i="6" s="1"/>
  <c r="U26" i="6" s="1"/>
  <c r="Y27" i="6"/>
  <c r="Z27" i="6" s="1"/>
  <c r="U27" i="6" s="1"/>
  <c r="Y28" i="6"/>
  <c r="Z28" i="6" s="1"/>
  <c r="U28" i="6" s="1"/>
  <c r="Y29" i="6"/>
  <c r="Z29" i="6" s="1"/>
  <c r="U29" i="6" s="1"/>
  <c r="Y30" i="6"/>
  <c r="Z30" i="6" s="1"/>
  <c r="U30" i="6" s="1"/>
  <c r="Y31" i="6"/>
  <c r="Z31" i="6" s="1"/>
  <c r="U31" i="6" s="1"/>
  <c r="Y32" i="6"/>
  <c r="Z32" i="6" s="1"/>
  <c r="U32" i="6" s="1"/>
  <c r="Y33" i="6"/>
  <c r="Z33" i="6" s="1"/>
  <c r="U33" i="6" s="1"/>
  <c r="Y34" i="6"/>
  <c r="Z34" i="6" s="1"/>
  <c r="U34" i="6" s="1"/>
  <c r="Y35" i="6"/>
  <c r="Z35" i="6" s="1"/>
  <c r="U35" i="6" s="1"/>
  <c r="Y36" i="6"/>
  <c r="Z36" i="6" s="1"/>
  <c r="U36" i="6" s="1"/>
  <c r="Y37" i="6"/>
  <c r="Z37" i="6" s="1"/>
  <c r="U37" i="6" s="1"/>
  <c r="Y38" i="6"/>
  <c r="Z38" i="6" s="1"/>
  <c r="U38" i="6" s="1"/>
  <c r="Y39" i="6"/>
  <c r="Z39" i="6" s="1"/>
  <c r="U39" i="6" s="1"/>
  <c r="Y40" i="6"/>
  <c r="Z40" i="6" s="1"/>
  <c r="U40" i="6" s="1"/>
  <c r="Y41" i="6"/>
  <c r="Z41" i="6" s="1"/>
  <c r="U41" i="6" s="1"/>
  <c r="Y42" i="6"/>
  <c r="Z42" i="6" s="1"/>
  <c r="U42" i="6" s="1"/>
  <c r="Y43" i="6"/>
  <c r="Z43" i="6" s="1"/>
  <c r="U43" i="6" s="1"/>
  <c r="Y44" i="6"/>
  <c r="Z44" i="6" s="1"/>
  <c r="U44" i="6" s="1"/>
  <c r="Y45" i="6"/>
  <c r="Z45" i="6" s="1"/>
  <c r="U45" i="6" s="1"/>
  <c r="Y46" i="6"/>
  <c r="Z46" i="6" s="1"/>
  <c r="U46" i="6" s="1"/>
  <c r="Y47" i="6"/>
  <c r="Z47" i="6" s="1"/>
  <c r="U47" i="6" s="1"/>
  <c r="Y48" i="6"/>
  <c r="Z48" i="6" s="1"/>
  <c r="U48" i="6" s="1"/>
  <c r="Y49" i="6"/>
  <c r="Z49" i="6" s="1"/>
  <c r="U49" i="6" s="1"/>
  <c r="Y50" i="6"/>
  <c r="Z50" i="6" s="1"/>
  <c r="U50" i="6" s="1"/>
  <c r="Y51" i="6"/>
  <c r="Z51" i="6" s="1"/>
  <c r="U51" i="6" s="1"/>
  <c r="Y52" i="6"/>
  <c r="Z52" i="6" s="1"/>
  <c r="U52" i="6" s="1"/>
  <c r="Y53" i="6"/>
  <c r="Z53" i="6" s="1"/>
  <c r="U53" i="6" s="1"/>
  <c r="Y54" i="6"/>
  <c r="Z54" i="6" s="1"/>
  <c r="U54" i="6" s="1"/>
  <c r="Y55" i="6"/>
  <c r="Z55" i="6" s="1"/>
  <c r="U55" i="6" s="1"/>
  <c r="Y56" i="6"/>
  <c r="Z56" i="6" s="1"/>
  <c r="U56" i="6" s="1"/>
  <c r="Y57" i="6"/>
  <c r="Z57" i="6" s="1"/>
  <c r="U57" i="6" s="1"/>
  <c r="Y58" i="6"/>
  <c r="Z58" i="6" s="1"/>
  <c r="U58" i="6" s="1"/>
  <c r="Y59" i="6"/>
  <c r="Z59" i="6" s="1"/>
  <c r="U59" i="6" s="1"/>
  <c r="Y60" i="6"/>
  <c r="Z60" i="6" s="1"/>
  <c r="U60" i="6" s="1"/>
  <c r="Y61" i="6"/>
  <c r="Z61" i="6" s="1"/>
  <c r="U61" i="6" s="1"/>
  <c r="Y62" i="6"/>
  <c r="Z62" i="6" s="1"/>
  <c r="U62" i="6" s="1"/>
  <c r="Y63" i="6"/>
  <c r="Z63" i="6" s="1"/>
  <c r="U63" i="6" s="1"/>
  <c r="Y64" i="6"/>
  <c r="Z64" i="6" s="1"/>
  <c r="U64" i="6" s="1"/>
  <c r="Y65" i="6"/>
  <c r="Z65" i="6" s="1"/>
  <c r="U65" i="6" s="1"/>
  <c r="Y66" i="6"/>
  <c r="Z66" i="6" s="1"/>
  <c r="U66" i="6" s="1"/>
  <c r="Y67" i="6"/>
  <c r="Z67" i="6" s="1"/>
  <c r="U67" i="6" s="1"/>
  <c r="Y68" i="6"/>
  <c r="Z68" i="6" s="1"/>
  <c r="U68" i="6" s="1"/>
  <c r="Y69" i="6"/>
  <c r="Z69" i="6" s="1"/>
  <c r="U69" i="6" s="1"/>
  <c r="Y70" i="6"/>
  <c r="Z70" i="6" s="1"/>
  <c r="U70" i="6" s="1"/>
  <c r="Y71" i="6"/>
  <c r="Z71" i="6" s="1"/>
  <c r="U71" i="6" s="1"/>
  <c r="Y72" i="6"/>
  <c r="Z72" i="6" s="1"/>
  <c r="U72" i="6" s="1"/>
  <c r="Y73" i="6"/>
  <c r="Z73" i="6" s="1"/>
  <c r="U73" i="6" s="1"/>
  <c r="Y74" i="6"/>
  <c r="Z74" i="6" s="1"/>
  <c r="U74" i="6" s="1"/>
  <c r="Y75" i="6"/>
  <c r="Z75" i="6" s="1"/>
  <c r="U75" i="6" s="1"/>
  <c r="Y76" i="6"/>
  <c r="Z76" i="6" s="1"/>
  <c r="U76" i="6" s="1"/>
  <c r="Y77" i="6"/>
  <c r="Z77" i="6" s="1"/>
  <c r="U77" i="6" s="1"/>
  <c r="Y78" i="6"/>
  <c r="Z78" i="6" s="1"/>
  <c r="U78" i="6" s="1"/>
  <c r="Y79" i="6"/>
  <c r="Z79" i="6" s="1"/>
  <c r="U79" i="6" s="1"/>
  <c r="Y80" i="6"/>
  <c r="Z80" i="6" s="1"/>
  <c r="U80" i="6" s="1"/>
  <c r="Y81" i="6"/>
  <c r="Z81" i="6" s="1"/>
  <c r="U81" i="6" s="1"/>
  <c r="Y82" i="6"/>
  <c r="Z82" i="6" s="1"/>
  <c r="U82" i="6" s="1"/>
  <c r="Y83" i="6"/>
  <c r="Z83" i="6" s="1"/>
  <c r="U83" i="6" s="1"/>
  <c r="Y84" i="6"/>
  <c r="Z84" i="6" s="1"/>
  <c r="U84" i="6" s="1"/>
  <c r="Y85" i="6"/>
  <c r="Z85" i="6" s="1"/>
  <c r="U85" i="6" s="1"/>
  <c r="Y86" i="6"/>
  <c r="Z86" i="6" s="1"/>
  <c r="U86" i="6" s="1"/>
  <c r="Y87" i="6"/>
  <c r="Z87" i="6" s="1"/>
  <c r="U87" i="6" s="1"/>
  <c r="Y88" i="6"/>
  <c r="Z88" i="6" s="1"/>
  <c r="U88" i="6" s="1"/>
  <c r="Y89" i="6"/>
  <c r="Z89" i="6" s="1"/>
  <c r="U89" i="6" s="1"/>
  <c r="Y90" i="6"/>
  <c r="Z90" i="6" s="1"/>
  <c r="U90" i="6" s="1"/>
  <c r="Y91" i="6"/>
  <c r="Z91" i="6" s="1"/>
  <c r="U91" i="6" s="1"/>
  <c r="Y92" i="6"/>
  <c r="Z92" i="6" s="1"/>
  <c r="U92" i="6" s="1"/>
  <c r="Y93" i="6"/>
  <c r="Z93" i="6" s="1"/>
  <c r="U93" i="6" s="1"/>
  <c r="Y94" i="6"/>
  <c r="Z94" i="6" s="1"/>
  <c r="U94" i="6" s="1"/>
  <c r="Y95" i="6"/>
  <c r="Z95" i="6" s="1"/>
  <c r="U95" i="6" s="1"/>
  <c r="Y96" i="6"/>
  <c r="Z96" i="6" s="1"/>
  <c r="U96" i="6" s="1"/>
  <c r="Y97" i="6"/>
  <c r="Z97" i="6" s="1"/>
  <c r="U97" i="6" s="1"/>
  <c r="Y98" i="6"/>
  <c r="Z98" i="6" s="1"/>
  <c r="U98" i="6" s="1"/>
  <c r="Y99" i="6"/>
  <c r="Z99" i="6" s="1"/>
  <c r="U99" i="6" s="1"/>
  <c r="Y100" i="6"/>
  <c r="Z100" i="6" s="1"/>
  <c r="U100" i="6" s="1"/>
  <c r="Y101" i="6"/>
  <c r="Z101" i="6" s="1"/>
  <c r="U101" i="6" s="1"/>
  <c r="Y102" i="6"/>
  <c r="Z102" i="6" s="1"/>
  <c r="U102" i="6" s="1"/>
  <c r="Y103" i="6"/>
  <c r="Z103" i="6" s="1"/>
  <c r="U103" i="6" s="1"/>
  <c r="Y104" i="6"/>
  <c r="Z104" i="6" s="1"/>
  <c r="U104" i="6" s="1"/>
  <c r="Y105" i="6"/>
  <c r="Z105" i="6" s="1"/>
  <c r="U105" i="6" s="1"/>
  <c r="Y106" i="6"/>
  <c r="Z106" i="6" s="1"/>
  <c r="U106" i="6" s="1"/>
  <c r="Y107" i="6"/>
  <c r="Z107" i="6" s="1"/>
  <c r="U107" i="6" s="1"/>
  <c r="Y108" i="6"/>
  <c r="Z108" i="6" s="1"/>
  <c r="U108" i="6" s="1"/>
  <c r="Y109" i="6"/>
  <c r="Z109" i="6" s="1"/>
  <c r="U109" i="6" s="1"/>
  <c r="Y110" i="6"/>
  <c r="Z110" i="6" s="1"/>
  <c r="U110" i="6" s="1"/>
  <c r="Y111" i="6"/>
  <c r="Z111" i="6" s="1"/>
  <c r="U111" i="6" s="1"/>
  <c r="Y112" i="6"/>
  <c r="Z112" i="6" s="1"/>
  <c r="U112" i="6" s="1"/>
  <c r="Y113" i="6"/>
  <c r="Z113" i="6" s="1"/>
  <c r="U113" i="6" s="1"/>
  <c r="Y114" i="6"/>
  <c r="Z114" i="6" s="1"/>
  <c r="U114" i="6" s="1"/>
  <c r="Y115" i="6"/>
  <c r="Z115" i="6" s="1"/>
  <c r="U115" i="6" s="1"/>
  <c r="Y116" i="6"/>
  <c r="Z116" i="6" s="1"/>
  <c r="U116" i="6" s="1"/>
  <c r="Y117" i="6"/>
  <c r="Z117" i="6" s="1"/>
  <c r="U117" i="6" s="1"/>
  <c r="Y118" i="6"/>
  <c r="Z118" i="6" s="1"/>
  <c r="U118" i="6" s="1"/>
  <c r="Y119" i="6"/>
  <c r="Z119" i="6" s="1"/>
  <c r="U119" i="6" s="1"/>
  <c r="Y120" i="6"/>
  <c r="Z120" i="6" s="1"/>
  <c r="U120" i="6" s="1"/>
  <c r="Y121" i="6"/>
  <c r="Z121" i="6" s="1"/>
  <c r="U121" i="6" s="1"/>
  <c r="Y122" i="6"/>
  <c r="Z122" i="6" s="1"/>
  <c r="U122" i="6" s="1"/>
  <c r="Y123" i="6"/>
  <c r="Z123" i="6" s="1"/>
  <c r="U123" i="6" s="1"/>
  <c r="Y124" i="6"/>
  <c r="Z124" i="6" s="1"/>
  <c r="U124" i="6" s="1"/>
  <c r="Y125" i="6"/>
  <c r="Z125" i="6" s="1"/>
  <c r="U125" i="6" s="1"/>
  <c r="Y126" i="6"/>
  <c r="Z126" i="6" s="1"/>
  <c r="U126" i="6" s="1"/>
  <c r="Y127" i="6"/>
  <c r="Z127" i="6" s="1"/>
  <c r="U127" i="6" s="1"/>
  <c r="Y128" i="6"/>
  <c r="Z128" i="6" s="1"/>
  <c r="U128" i="6" s="1"/>
  <c r="Y129" i="6"/>
  <c r="Z129" i="6" s="1"/>
  <c r="U129" i="6" s="1"/>
  <c r="Y130" i="6"/>
  <c r="Z130" i="6" s="1"/>
  <c r="U130" i="6" s="1"/>
  <c r="Y131" i="6"/>
  <c r="Z131" i="6" s="1"/>
  <c r="U131" i="6" s="1"/>
  <c r="Y132" i="6"/>
  <c r="Z132" i="6" s="1"/>
  <c r="U132" i="6" s="1"/>
  <c r="Y133" i="6"/>
  <c r="Z133" i="6" s="1"/>
  <c r="U133" i="6" s="1"/>
  <c r="Y134" i="6"/>
  <c r="Z134" i="6" s="1"/>
  <c r="U134" i="6" s="1"/>
  <c r="Y135" i="6"/>
  <c r="Z135" i="6" s="1"/>
  <c r="U135" i="6" s="1"/>
  <c r="Y136" i="6"/>
  <c r="Z136" i="6" s="1"/>
  <c r="U136" i="6" s="1"/>
  <c r="Y137" i="6"/>
  <c r="Z137" i="6" s="1"/>
  <c r="U137" i="6" s="1"/>
  <c r="Y138" i="6"/>
  <c r="Z138" i="6" s="1"/>
  <c r="U138" i="6" s="1"/>
  <c r="Y139" i="6"/>
  <c r="Z139" i="6" s="1"/>
  <c r="U139" i="6" s="1"/>
  <c r="Y140" i="6"/>
  <c r="Z140" i="6" s="1"/>
  <c r="U140" i="6" s="1"/>
  <c r="Y141" i="6"/>
  <c r="Z141" i="6" s="1"/>
  <c r="U141" i="6" s="1"/>
  <c r="Y142" i="6"/>
  <c r="Z142" i="6" s="1"/>
  <c r="U142" i="6" s="1"/>
  <c r="Y143" i="6"/>
  <c r="Z143" i="6" s="1"/>
  <c r="U143" i="6" s="1"/>
  <c r="Y144" i="6"/>
  <c r="Z144" i="6" s="1"/>
  <c r="U144" i="6" s="1"/>
  <c r="Y145" i="6"/>
  <c r="Z145" i="6" s="1"/>
  <c r="U145" i="6" s="1"/>
  <c r="Y146" i="6"/>
  <c r="Z146" i="6" s="1"/>
  <c r="U146" i="6" s="1"/>
  <c r="Y147" i="6"/>
  <c r="Z147" i="6" s="1"/>
  <c r="U147" i="6" s="1"/>
  <c r="Y148" i="6"/>
  <c r="Z148" i="6" s="1"/>
  <c r="U148" i="6" s="1"/>
  <c r="Y149" i="6"/>
  <c r="Z149" i="6" s="1"/>
  <c r="U149" i="6" s="1"/>
  <c r="Y150" i="6"/>
  <c r="Z150" i="6" s="1"/>
  <c r="U150" i="6" s="1"/>
  <c r="Y151" i="6"/>
  <c r="Z151" i="6" s="1"/>
  <c r="U151" i="6" s="1"/>
  <c r="Y152" i="6"/>
  <c r="Z152" i="6" s="1"/>
  <c r="U152" i="6" s="1"/>
  <c r="Y153" i="6"/>
  <c r="Z153" i="6" s="1"/>
  <c r="U153" i="6" s="1"/>
  <c r="Y154" i="6"/>
  <c r="Z154" i="6" s="1"/>
  <c r="U154" i="6" s="1"/>
  <c r="Y155" i="6"/>
  <c r="Z155" i="6" s="1"/>
  <c r="U155" i="6" s="1"/>
  <c r="Y156" i="6"/>
  <c r="Z156" i="6" s="1"/>
  <c r="U156" i="6" s="1"/>
  <c r="Y157" i="6"/>
  <c r="Z157" i="6" s="1"/>
  <c r="U157" i="6" s="1"/>
  <c r="Y158" i="6"/>
  <c r="Z158" i="6" s="1"/>
  <c r="U158" i="6" s="1"/>
  <c r="Y159" i="6"/>
  <c r="Z159" i="6" s="1"/>
  <c r="U159" i="6" s="1"/>
  <c r="Y160" i="6"/>
  <c r="Z160" i="6" s="1"/>
  <c r="U160" i="6" s="1"/>
  <c r="Y161" i="6"/>
  <c r="Z161" i="6" s="1"/>
  <c r="U161" i="6" s="1"/>
  <c r="Y162" i="6"/>
  <c r="Z162" i="6" s="1"/>
  <c r="U162" i="6" s="1"/>
  <c r="Y163" i="6"/>
  <c r="Z163" i="6" s="1"/>
  <c r="U163" i="6" s="1"/>
  <c r="Y164" i="6"/>
  <c r="Z164" i="6" s="1"/>
  <c r="U164" i="6" s="1"/>
  <c r="Y165" i="6"/>
  <c r="Z165" i="6" s="1"/>
  <c r="U165" i="6" s="1"/>
  <c r="Y166" i="6"/>
  <c r="Z166" i="6" s="1"/>
  <c r="U166" i="6" s="1"/>
  <c r="Y167" i="6"/>
  <c r="Z167" i="6" s="1"/>
  <c r="U167" i="6" s="1"/>
  <c r="Y168" i="6"/>
  <c r="Z168" i="6" s="1"/>
  <c r="U168" i="6" s="1"/>
  <c r="Y169" i="6"/>
  <c r="Z169" i="6" s="1"/>
  <c r="U169" i="6" s="1"/>
  <c r="Y170" i="6"/>
  <c r="Z170" i="6" s="1"/>
  <c r="U170" i="6" s="1"/>
  <c r="Y171" i="6"/>
  <c r="Z171" i="6" s="1"/>
  <c r="U171" i="6" s="1"/>
  <c r="Y172" i="6"/>
  <c r="Z172" i="6" s="1"/>
  <c r="U172" i="6" s="1"/>
  <c r="Y173" i="6"/>
  <c r="Z173" i="6" s="1"/>
  <c r="U173" i="6" s="1"/>
  <c r="Y174" i="6"/>
  <c r="Z174" i="6" s="1"/>
  <c r="U174" i="6" s="1"/>
  <c r="Y175" i="6"/>
  <c r="Z175" i="6" s="1"/>
  <c r="U175" i="6" s="1"/>
  <c r="Y176" i="6"/>
  <c r="Z176" i="6" s="1"/>
  <c r="U176" i="6" s="1"/>
  <c r="Y177" i="6"/>
  <c r="Z177" i="6" s="1"/>
  <c r="U177" i="6" s="1"/>
  <c r="Y178" i="6"/>
  <c r="Z178" i="6" s="1"/>
  <c r="U178" i="6" s="1"/>
  <c r="Y179" i="6"/>
  <c r="Z179" i="6" s="1"/>
  <c r="U179" i="6" s="1"/>
  <c r="Y180" i="6"/>
  <c r="Z180" i="6" s="1"/>
  <c r="U180" i="6" s="1"/>
  <c r="Y181" i="6"/>
  <c r="Z181" i="6" s="1"/>
  <c r="U181" i="6" s="1"/>
  <c r="Y182" i="6"/>
  <c r="Z182" i="6" s="1"/>
  <c r="U182" i="6" s="1"/>
  <c r="Y183" i="6"/>
  <c r="Z183" i="6" s="1"/>
  <c r="U183" i="6" s="1"/>
  <c r="Y184" i="6"/>
  <c r="Z184" i="6" s="1"/>
  <c r="U184" i="6" s="1"/>
  <c r="Y185" i="6"/>
  <c r="Z185" i="6" s="1"/>
  <c r="U185" i="6" s="1"/>
  <c r="Y186" i="6"/>
  <c r="Z186" i="6" s="1"/>
  <c r="U186" i="6" s="1"/>
  <c r="Y187" i="6"/>
  <c r="Z187" i="6" s="1"/>
  <c r="U187" i="6" s="1"/>
  <c r="Y188" i="6"/>
  <c r="Z188" i="6" s="1"/>
  <c r="U188" i="6" s="1"/>
  <c r="Y189" i="6"/>
  <c r="Z189" i="6" s="1"/>
  <c r="U189" i="6" s="1"/>
  <c r="Y190" i="6"/>
  <c r="Z190" i="6" s="1"/>
  <c r="U190" i="6" s="1"/>
  <c r="Y191" i="6"/>
  <c r="Z191" i="6" s="1"/>
  <c r="U191" i="6" s="1"/>
  <c r="Y192" i="6"/>
  <c r="Z192" i="6" s="1"/>
  <c r="U192" i="6" s="1"/>
  <c r="Y193" i="6"/>
  <c r="Z193" i="6" s="1"/>
  <c r="U193" i="6" s="1"/>
  <c r="Y194" i="6"/>
  <c r="Z194" i="6" s="1"/>
  <c r="U194" i="6" s="1"/>
  <c r="Y195" i="6"/>
  <c r="Z195" i="6" s="1"/>
  <c r="U195" i="6" s="1"/>
  <c r="Y196" i="6"/>
  <c r="Z196" i="6" s="1"/>
  <c r="U196" i="6" s="1"/>
  <c r="Y197" i="6"/>
  <c r="Z197" i="6" s="1"/>
  <c r="U197" i="6" s="1"/>
  <c r="Y198" i="6"/>
  <c r="Z198" i="6" s="1"/>
  <c r="U198" i="6" s="1"/>
  <c r="Y199" i="6"/>
  <c r="Z199" i="6" s="1"/>
  <c r="U199" i="6" s="1"/>
  <c r="Y200" i="6"/>
  <c r="Z200" i="6" s="1"/>
  <c r="U200" i="6" s="1"/>
  <c r="Y201" i="6"/>
  <c r="Z201" i="6" s="1"/>
  <c r="U201" i="6" s="1"/>
  <c r="Y202" i="6"/>
  <c r="Z202" i="6" s="1"/>
  <c r="U202" i="6" s="1"/>
  <c r="Y203" i="6"/>
  <c r="Z203" i="6" s="1"/>
  <c r="U203" i="6" s="1"/>
  <c r="Y204" i="6"/>
  <c r="Z204" i="6" s="1"/>
  <c r="U204" i="6" s="1"/>
  <c r="Y205" i="6"/>
  <c r="Z205" i="6" s="1"/>
  <c r="U205" i="6" s="1"/>
  <c r="Y206" i="6"/>
  <c r="Z206" i="6" s="1"/>
  <c r="U206" i="6" s="1"/>
  <c r="Y207" i="6"/>
  <c r="Z207" i="6" s="1"/>
  <c r="U207" i="6" s="1"/>
  <c r="Y208" i="6"/>
  <c r="Z208" i="6" s="1"/>
  <c r="U208" i="6" s="1"/>
  <c r="Y209" i="6"/>
  <c r="Z209" i="6" s="1"/>
  <c r="U209" i="6" s="1"/>
  <c r="Y210" i="6"/>
  <c r="Z210" i="6" s="1"/>
  <c r="U210" i="6" s="1"/>
  <c r="Y211" i="6"/>
  <c r="Z211" i="6" s="1"/>
  <c r="U211" i="6" s="1"/>
  <c r="Y212" i="6"/>
  <c r="Z212" i="6" s="1"/>
  <c r="U212" i="6" s="1"/>
  <c r="Y213" i="6"/>
  <c r="Z213" i="6" s="1"/>
  <c r="U213" i="6" s="1"/>
  <c r="Y214" i="6"/>
  <c r="Z214" i="6" s="1"/>
  <c r="U214" i="6" s="1"/>
  <c r="Y215" i="6"/>
  <c r="Z215" i="6" s="1"/>
  <c r="U215" i="6" s="1"/>
  <c r="Y216" i="6"/>
  <c r="Z216" i="6" s="1"/>
  <c r="U216" i="6" s="1"/>
  <c r="Y217" i="6"/>
  <c r="Z217" i="6" s="1"/>
  <c r="U217" i="6" s="1"/>
  <c r="Y218" i="6"/>
  <c r="Z218" i="6" s="1"/>
  <c r="U218" i="6" s="1"/>
  <c r="Y219" i="6"/>
  <c r="Z219" i="6" s="1"/>
  <c r="U219" i="6" s="1"/>
  <c r="Y220" i="6"/>
  <c r="Z220" i="6" s="1"/>
  <c r="U220" i="6" s="1"/>
  <c r="Y3" i="6"/>
  <c r="Z3" i="6" s="1"/>
  <c r="U3" i="6" s="1"/>
  <c r="Y4" i="6"/>
  <c r="Z4" i="6" s="1"/>
  <c r="U4" i="6" s="1"/>
  <c r="Y5" i="6"/>
  <c r="Z5" i="6" s="1"/>
  <c r="U5" i="6" s="1"/>
  <c r="Y6" i="6"/>
  <c r="Z6" i="6" s="1"/>
  <c r="U6" i="6" s="1"/>
  <c r="Y7" i="6"/>
  <c r="Z7" i="6" s="1"/>
  <c r="U7" i="6" s="1"/>
  <c r="Y8" i="6"/>
  <c r="Z8" i="6" s="1"/>
  <c r="U8" i="6" s="1"/>
  <c r="Y2" i="6"/>
  <c r="Z2" i="6" s="1"/>
  <c r="U2" i="6" s="1"/>
  <c r="V2" i="6" s="1"/>
  <c r="J70" i="5"/>
  <c r="J71" i="5"/>
  <c r="J62" i="5"/>
  <c r="H24" i="7"/>
  <c r="H26" i="7"/>
  <c r="H25" i="7"/>
  <c r="H23" i="7"/>
  <c r="H22" i="7"/>
  <c r="B20" i="7"/>
  <c r="C23" i="7" s="1"/>
  <c r="B14" i="7"/>
  <c r="C17" i="7" s="1"/>
  <c r="F14" i="7"/>
  <c r="G17" i="7" s="1"/>
  <c r="B7" i="7"/>
  <c r="F20" i="7" s="1"/>
  <c r="H89" i="6"/>
  <c r="I89" i="6" s="1"/>
  <c r="K89" i="6" s="1"/>
  <c r="H215" i="6"/>
  <c r="I215" i="6" s="1"/>
  <c r="K215" i="6" s="1"/>
  <c r="H216" i="6"/>
  <c r="I216" i="6" s="1"/>
  <c r="H217" i="6"/>
  <c r="I217" i="6" s="1"/>
  <c r="H218" i="6"/>
  <c r="I218" i="6" s="1"/>
  <c r="H219" i="6"/>
  <c r="I219" i="6" s="1"/>
  <c r="H220" i="6"/>
  <c r="I220" i="6" s="1"/>
  <c r="J63" i="5"/>
  <c r="H16" i="7"/>
  <c r="H17" i="7"/>
  <c r="H15" i="7"/>
  <c r="C3" i="7"/>
  <c r="D16" i="2"/>
  <c r="I120" i="6"/>
  <c r="K120" i="6" s="1"/>
  <c r="D15" i="2"/>
  <c r="D17" i="2"/>
  <c r="D14" i="2"/>
  <c r="D18" i="2"/>
  <c r="J61" i="5"/>
  <c r="J64" i="5"/>
  <c r="J65" i="5"/>
  <c r="J24" i="5"/>
  <c r="J25" i="5"/>
  <c r="J26" i="5"/>
  <c r="J27" i="5"/>
  <c r="I64" i="6"/>
  <c r="K64" i="6" s="1"/>
  <c r="H84" i="6"/>
  <c r="I84" i="6" s="1"/>
  <c r="K84" i="6" s="1"/>
  <c r="H4" i="6"/>
  <c r="I4" i="6" s="1"/>
  <c r="K4" i="6" s="1"/>
  <c r="H5" i="6"/>
  <c r="I5" i="6" s="1"/>
  <c r="K5" i="6" s="1"/>
  <c r="H6" i="6"/>
  <c r="H7" i="6"/>
  <c r="I7" i="6" s="1"/>
  <c r="K7" i="6" s="1"/>
  <c r="H8" i="6"/>
  <c r="I8" i="6" s="1"/>
  <c r="K8" i="6" s="1"/>
  <c r="H9" i="6"/>
  <c r="I9" i="6" s="1"/>
  <c r="K9" i="6" s="1"/>
  <c r="H10" i="6"/>
  <c r="I10" i="6" s="1"/>
  <c r="K10" i="6" s="1"/>
  <c r="H11" i="6"/>
  <c r="I11" i="6" s="1"/>
  <c r="K11" i="6" s="1"/>
  <c r="H12" i="6"/>
  <c r="I12" i="6" s="1"/>
  <c r="K12" i="6" s="1"/>
  <c r="H13" i="6"/>
  <c r="I13" i="6" s="1"/>
  <c r="K13" i="6" s="1"/>
  <c r="H14" i="6"/>
  <c r="H15" i="6"/>
  <c r="I15" i="6" s="1"/>
  <c r="K15" i="6" s="1"/>
  <c r="H16" i="6"/>
  <c r="I16" i="6" s="1"/>
  <c r="K16" i="6" s="1"/>
  <c r="H17" i="6"/>
  <c r="I17" i="6" s="1"/>
  <c r="K17" i="6" s="1"/>
  <c r="H18" i="6"/>
  <c r="I18" i="6" s="1"/>
  <c r="K18" i="6" s="1"/>
  <c r="H19" i="6"/>
  <c r="I19" i="6" s="1"/>
  <c r="K19" i="6" s="1"/>
  <c r="H20" i="6"/>
  <c r="I20" i="6" s="1"/>
  <c r="K20" i="6" s="1"/>
  <c r="H21" i="6"/>
  <c r="I21" i="6" s="1"/>
  <c r="K21" i="6" s="1"/>
  <c r="H22" i="6"/>
  <c r="H23" i="6"/>
  <c r="I23" i="6" s="1"/>
  <c r="K23" i="6" s="1"/>
  <c r="H24" i="6"/>
  <c r="H25" i="6"/>
  <c r="I25" i="6" s="1"/>
  <c r="K25" i="6" s="1"/>
  <c r="H26" i="6"/>
  <c r="I26" i="6" s="1"/>
  <c r="K26" i="6" s="1"/>
  <c r="H27" i="6"/>
  <c r="I27" i="6" s="1"/>
  <c r="K27" i="6" s="1"/>
  <c r="H28" i="6"/>
  <c r="I28" i="6" s="1"/>
  <c r="K28" i="6" s="1"/>
  <c r="H29" i="6"/>
  <c r="I29" i="6" s="1"/>
  <c r="K29" i="6" s="1"/>
  <c r="H30" i="6"/>
  <c r="H31" i="6"/>
  <c r="I31" i="6" s="1"/>
  <c r="K31" i="6" s="1"/>
  <c r="H32" i="6"/>
  <c r="I32" i="6" s="1"/>
  <c r="K32" i="6" s="1"/>
  <c r="H33" i="6"/>
  <c r="I33" i="6" s="1"/>
  <c r="K33" i="6" s="1"/>
  <c r="H34" i="6"/>
  <c r="I34" i="6" s="1"/>
  <c r="K34" i="6" s="1"/>
  <c r="H35" i="6"/>
  <c r="I35" i="6" s="1"/>
  <c r="K35" i="6" s="1"/>
  <c r="H36" i="6"/>
  <c r="I36" i="6" s="1"/>
  <c r="K36" i="6" s="1"/>
  <c r="H37" i="6"/>
  <c r="I37" i="6" s="1"/>
  <c r="K37" i="6" s="1"/>
  <c r="H38" i="6"/>
  <c r="H39" i="6"/>
  <c r="I39" i="6" s="1"/>
  <c r="K39" i="6" s="1"/>
  <c r="H40" i="6"/>
  <c r="I40" i="6" s="1"/>
  <c r="K40" i="6" s="1"/>
  <c r="H41" i="6"/>
  <c r="I41" i="6" s="1"/>
  <c r="K41" i="6" s="1"/>
  <c r="H42" i="6"/>
  <c r="I42" i="6" s="1"/>
  <c r="K42" i="6" s="1"/>
  <c r="H43" i="6"/>
  <c r="I43" i="6" s="1"/>
  <c r="K43" i="6" s="1"/>
  <c r="H44" i="6"/>
  <c r="I44" i="6" s="1"/>
  <c r="K44" i="6" s="1"/>
  <c r="H45" i="6"/>
  <c r="I45" i="6" s="1"/>
  <c r="K45" i="6" s="1"/>
  <c r="H46" i="6"/>
  <c r="H47" i="6"/>
  <c r="I47" i="6" s="1"/>
  <c r="K47" i="6" s="1"/>
  <c r="H48" i="6"/>
  <c r="H49" i="6"/>
  <c r="I49" i="6" s="1"/>
  <c r="K49" i="6" s="1"/>
  <c r="H50" i="6"/>
  <c r="I50" i="6" s="1"/>
  <c r="K50" i="6" s="1"/>
  <c r="H51" i="6"/>
  <c r="I51" i="6" s="1"/>
  <c r="K51" i="6" s="1"/>
  <c r="H52" i="6"/>
  <c r="I52" i="6" s="1"/>
  <c r="K52" i="6" s="1"/>
  <c r="H53" i="6"/>
  <c r="I53" i="6" s="1"/>
  <c r="K53" i="6" s="1"/>
  <c r="H54" i="6"/>
  <c r="H55" i="6"/>
  <c r="I55" i="6" s="1"/>
  <c r="K55" i="6" s="1"/>
  <c r="H56" i="6"/>
  <c r="I56" i="6" s="1"/>
  <c r="K56" i="6" s="1"/>
  <c r="H57" i="6"/>
  <c r="I57" i="6" s="1"/>
  <c r="K57" i="6" s="1"/>
  <c r="H58" i="6"/>
  <c r="I58" i="6" s="1"/>
  <c r="K58" i="6" s="1"/>
  <c r="H59" i="6"/>
  <c r="I59" i="6" s="1"/>
  <c r="K59" i="6" s="1"/>
  <c r="H60" i="6"/>
  <c r="I60" i="6" s="1"/>
  <c r="K60" i="6" s="1"/>
  <c r="H61" i="6"/>
  <c r="I61" i="6" s="1"/>
  <c r="K61" i="6" s="1"/>
  <c r="H62" i="6"/>
  <c r="H63" i="6"/>
  <c r="I63" i="6" s="1"/>
  <c r="K63" i="6" s="1"/>
  <c r="H64" i="6"/>
  <c r="H65" i="6"/>
  <c r="I65" i="6" s="1"/>
  <c r="K65" i="6" s="1"/>
  <c r="H66" i="6"/>
  <c r="I66" i="6" s="1"/>
  <c r="K66" i="6" s="1"/>
  <c r="H67" i="6"/>
  <c r="I67" i="6" s="1"/>
  <c r="K67" i="6" s="1"/>
  <c r="H68" i="6"/>
  <c r="I68" i="6" s="1"/>
  <c r="K68" i="6" s="1"/>
  <c r="H69" i="6"/>
  <c r="I69" i="6" s="1"/>
  <c r="K69" i="6" s="1"/>
  <c r="H70" i="6"/>
  <c r="H71" i="6"/>
  <c r="I71" i="6" s="1"/>
  <c r="K71" i="6" s="1"/>
  <c r="H72" i="6"/>
  <c r="H73" i="6"/>
  <c r="I73" i="6" s="1"/>
  <c r="K73" i="6" s="1"/>
  <c r="H74" i="6"/>
  <c r="I74" i="6" s="1"/>
  <c r="K74" i="6" s="1"/>
  <c r="H75" i="6"/>
  <c r="I75" i="6" s="1"/>
  <c r="K75" i="6" s="1"/>
  <c r="H76" i="6"/>
  <c r="I76" i="6" s="1"/>
  <c r="K76" i="6" s="1"/>
  <c r="H77" i="6"/>
  <c r="I77" i="6" s="1"/>
  <c r="K77" i="6" s="1"/>
  <c r="H78" i="6"/>
  <c r="H79" i="6"/>
  <c r="I79" i="6" s="1"/>
  <c r="K79" i="6" s="1"/>
  <c r="H80" i="6"/>
  <c r="I80" i="6" s="1"/>
  <c r="K80" i="6" s="1"/>
  <c r="H81" i="6"/>
  <c r="I81" i="6" s="1"/>
  <c r="K81" i="6" s="1"/>
  <c r="H82" i="6"/>
  <c r="I82" i="6" s="1"/>
  <c r="K82" i="6" s="1"/>
  <c r="H83" i="6"/>
  <c r="I83" i="6" s="1"/>
  <c r="K83" i="6" s="1"/>
  <c r="H85" i="6"/>
  <c r="I85" i="6" s="1"/>
  <c r="K85" i="6" s="1"/>
  <c r="H86" i="6"/>
  <c r="H87" i="6"/>
  <c r="I87" i="6" s="1"/>
  <c r="K87" i="6" s="1"/>
  <c r="H88" i="6"/>
  <c r="I88" i="6" s="1"/>
  <c r="K88" i="6" s="1"/>
  <c r="H90" i="6"/>
  <c r="I90" i="6" s="1"/>
  <c r="K90" i="6" s="1"/>
  <c r="H91" i="6"/>
  <c r="I91" i="6" s="1"/>
  <c r="K91" i="6" s="1"/>
  <c r="H92" i="6"/>
  <c r="I92" i="6" s="1"/>
  <c r="K92" i="6" s="1"/>
  <c r="H93" i="6"/>
  <c r="I93" i="6" s="1"/>
  <c r="K93" i="6" s="1"/>
  <c r="H94" i="6"/>
  <c r="H95" i="6"/>
  <c r="I95" i="6" s="1"/>
  <c r="K95" i="6" s="1"/>
  <c r="H96" i="6"/>
  <c r="I96" i="6" s="1"/>
  <c r="K96" i="6" s="1"/>
  <c r="H97" i="6"/>
  <c r="I97" i="6" s="1"/>
  <c r="K97" i="6" s="1"/>
  <c r="H98" i="6"/>
  <c r="I98" i="6" s="1"/>
  <c r="K98" i="6" s="1"/>
  <c r="H99" i="6"/>
  <c r="I99" i="6" s="1"/>
  <c r="K99" i="6" s="1"/>
  <c r="H100" i="6"/>
  <c r="I100" i="6" s="1"/>
  <c r="K100" i="6" s="1"/>
  <c r="H101" i="6"/>
  <c r="I101" i="6" s="1"/>
  <c r="K101" i="6" s="1"/>
  <c r="H102" i="6"/>
  <c r="H103" i="6"/>
  <c r="I103" i="6" s="1"/>
  <c r="K103" i="6" s="1"/>
  <c r="H104" i="6"/>
  <c r="I104" i="6" s="1"/>
  <c r="K104" i="6" s="1"/>
  <c r="H105" i="6"/>
  <c r="I105" i="6" s="1"/>
  <c r="K105" i="6" s="1"/>
  <c r="H106" i="6"/>
  <c r="I106" i="6" s="1"/>
  <c r="K106" i="6" s="1"/>
  <c r="H107" i="6"/>
  <c r="I107" i="6" s="1"/>
  <c r="K107" i="6" s="1"/>
  <c r="H108" i="6"/>
  <c r="I108" i="6" s="1"/>
  <c r="K108" i="6" s="1"/>
  <c r="H109" i="6"/>
  <c r="I109" i="6" s="1"/>
  <c r="K109" i="6" s="1"/>
  <c r="H110" i="6"/>
  <c r="H111" i="6"/>
  <c r="I111" i="6" s="1"/>
  <c r="K111" i="6" s="1"/>
  <c r="H112" i="6"/>
  <c r="I112" i="6" s="1"/>
  <c r="K112" i="6" s="1"/>
  <c r="H113" i="6"/>
  <c r="I113" i="6" s="1"/>
  <c r="K113" i="6" s="1"/>
  <c r="H114" i="6"/>
  <c r="I114" i="6" s="1"/>
  <c r="K114" i="6" s="1"/>
  <c r="H115" i="6"/>
  <c r="I115" i="6" s="1"/>
  <c r="K115" i="6" s="1"/>
  <c r="H116" i="6"/>
  <c r="I116" i="6" s="1"/>
  <c r="K116" i="6" s="1"/>
  <c r="H117" i="6"/>
  <c r="I117" i="6" s="1"/>
  <c r="K117" i="6" s="1"/>
  <c r="H118" i="6"/>
  <c r="H119" i="6"/>
  <c r="I119" i="6" s="1"/>
  <c r="K119" i="6" s="1"/>
  <c r="H120" i="6"/>
  <c r="H121" i="6"/>
  <c r="I121" i="6" s="1"/>
  <c r="K121" i="6" s="1"/>
  <c r="H122" i="6"/>
  <c r="I122" i="6" s="1"/>
  <c r="K122" i="6" s="1"/>
  <c r="H123" i="6"/>
  <c r="I123" i="6" s="1"/>
  <c r="K123" i="6" s="1"/>
  <c r="H124" i="6"/>
  <c r="I124" i="6" s="1"/>
  <c r="K124" i="6" s="1"/>
  <c r="H125" i="6"/>
  <c r="I125" i="6" s="1"/>
  <c r="K125" i="6" s="1"/>
  <c r="H126" i="6"/>
  <c r="H127" i="6"/>
  <c r="I127" i="6" s="1"/>
  <c r="K127" i="6" s="1"/>
  <c r="H128" i="6"/>
  <c r="I128" i="6" s="1"/>
  <c r="K128" i="6" s="1"/>
  <c r="H129" i="6"/>
  <c r="I129" i="6" s="1"/>
  <c r="K129" i="6" s="1"/>
  <c r="H130" i="6"/>
  <c r="I130" i="6" s="1"/>
  <c r="K130" i="6" s="1"/>
  <c r="H131" i="6"/>
  <c r="I131" i="6" s="1"/>
  <c r="K131" i="6" s="1"/>
  <c r="H132" i="6"/>
  <c r="I132" i="6" s="1"/>
  <c r="K132" i="6" s="1"/>
  <c r="H133" i="6"/>
  <c r="I133" i="6" s="1"/>
  <c r="K133" i="6" s="1"/>
  <c r="H134" i="6"/>
  <c r="H135" i="6"/>
  <c r="I135" i="6" s="1"/>
  <c r="K135" i="6" s="1"/>
  <c r="H136" i="6"/>
  <c r="I136" i="6" s="1"/>
  <c r="K136" i="6" s="1"/>
  <c r="H137" i="6"/>
  <c r="I137" i="6" s="1"/>
  <c r="K137" i="6" s="1"/>
  <c r="H138" i="6"/>
  <c r="I138" i="6" s="1"/>
  <c r="K138" i="6" s="1"/>
  <c r="H139" i="6"/>
  <c r="I139" i="6" s="1"/>
  <c r="K139" i="6" s="1"/>
  <c r="H140" i="6"/>
  <c r="I140" i="6" s="1"/>
  <c r="K140" i="6" s="1"/>
  <c r="H141" i="6"/>
  <c r="I141" i="6" s="1"/>
  <c r="K141" i="6" s="1"/>
  <c r="H142" i="6"/>
  <c r="H143" i="6"/>
  <c r="I143" i="6" s="1"/>
  <c r="K143" i="6" s="1"/>
  <c r="H144" i="6"/>
  <c r="H145" i="6"/>
  <c r="I145" i="6" s="1"/>
  <c r="K145" i="6" s="1"/>
  <c r="H146" i="6"/>
  <c r="I146" i="6" s="1"/>
  <c r="K146" i="6" s="1"/>
  <c r="H147" i="6"/>
  <c r="I147" i="6" s="1"/>
  <c r="K147" i="6" s="1"/>
  <c r="H148" i="6"/>
  <c r="I148" i="6" s="1"/>
  <c r="K148" i="6" s="1"/>
  <c r="H149" i="6"/>
  <c r="I149" i="6" s="1"/>
  <c r="K149" i="6" s="1"/>
  <c r="H150" i="6"/>
  <c r="H151" i="6"/>
  <c r="I151" i="6" s="1"/>
  <c r="K151" i="6" s="1"/>
  <c r="H152" i="6"/>
  <c r="I152" i="6" s="1"/>
  <c r="K152" i="6" s="1"/>
  <c r="H153" i="6"/>
  <c r="I153" i="6" s="1"/>
  <c r="K153" i="6" s="1"/>
  <c r="H154" i="6"/>
  <c r="I154" i="6" s="1"/>
  <c r="K154" i="6" s="1"/>
  <c r="H155" i="6"/>
  <c r="I155" i="6" s="1"/>
  <c r="K155" i="6" s="1"/>
  <c r="H156" i="6"/>
  <c r="I156" i="6" s="1"/>
  <c r="K156" i="6" s="1"/>
  <c r="H157" i="6"/>
  <c r="I157" i="6" s="1"/>
  <c r="K157" i="6" s="1"/>
  <c r="H158" i="6"/>
  <c r="H159" i="6"/>
  <c r="I159" i="6" s="1"/>
  <c r="K159" i="6" s="1"/>
  <c r="H160" i="6"/>
  <c r="I160" i="6" s="1"/>
  <c r="K160" i="6" s="1"/>
  <c r="H161" i="6"/>
  <c r="I161" i="6" s="1"/>
  <c r="K161" i="6" s="1"/>
  <c r="H162" i="6"/>
  <c r="I162" i="6" s="1"/>
  <c r="K162" i="6" s="1"/>
  <c r="H163" i="6"/>
  <c r="I163" i="6" s="1"/>
  <c r="K163" i="6" s="1"/>
  <c r="H164" i="6"/>
  <c r="I164" i="6" s="1"/>
  <c r="K164" i="6" s="1"/>
  <c r="H165" i="6"/>
  <c r="I165" i="6" s="1"/>
  <c r="K165" i="6" s="1"/>
  <c r="H166" i="6"/>
  <c r="H167" i="6"/>
  <c r="I167" i="6" s="1"/>
  <c r="K167" i="6" s="1"/>
  <c r="H168" i="6"/>
  <c r="I168" i="6" s="1"/>
  <c r="K168" i="6" s="1"/>
  <c r="H169" i="6"/>
  <c r="I169" i="6" s="1"/>
  <c r="K169" i="6" s="1"/>
  <c r="H170" i="6"/>
  <c r="I170" i="6" s="1"/>
  <c r="K170" i="6" s="1"/>
  <c r="H171" i="6"/>
  <c r="I171" i="6" s="1"/>
  <c r="K171" i="6" s="1"/>
  <c r="H172" i="6"/>
  <c r="I172" i="6" s="1"/>
  <c r="K172" i="6" s="1"/>
  <c r="H173" i="6"/>
  <c r="I173" i="6" s="1"/>
  <c r="K173" i="6" s="1"/>
  <c r="H174" i="6"/>
  <c r="H175" i="6"/>
  <c r="I175" i="6" s="1"/>
  <c r="K175" i="6" s="1"/>
  <c r="H176" i="6"/>
  <c r="I176" i="6" s="1"/>
  <c r="K176" i="6" s="1"/>
  <c r="H177" i="6"/>
  <c r="I177" i="6" s="1"/>
  <c r="K177" i="6" s="1"/>
  <c r="H178" i="6"/>
  <c r="I178" i="6" s="1"/>
  <c r="K178" i="6" s="1"/>
  <c r="H179" i="6"/>
  <c r="I179" i="6" s="1"/>
  <c r="K179" i="6" s="1"/>
  <c r="H180" i="6"/>
  <c r="I180" i="6" s="1"/>
  <c r="K180" i="6" s="1"/>
  <c r="H181" i="6"/>
  <c r="I181" i="6" s="1"/>
  <c r="K181" i="6" s="1"/>
  <c r="H182" i="6"/>
  <c r="H183" i="6"/>
  <c r="I183" i="6" s="1"/>
  <c r="K183" i="6" s="1"/>
  <c r="H184" i="6"/>
  <c r="I184" i="6" s="1"/>
  <c r="K184" i="6" s="1"/>
  <c r="H185" i="6"/>
  <c r="I185" i="6" s="1"/>
  <c r="K185" i="6" s="1"/>
  <c r="H186" i="6"/>
  <c r="I186" i="6" s="1"/>
  <c r="K186" i="6" s="1"/>
  <c r="H187" i="6"/>
  <c r="I187" i="6" s="1"/>
  <c r="K187" i="6" s="1"/>
  <c r="H188" i="6"/>
  <c r="I188" i="6" s="1"/>
  <c r="K188" i="6" s="1"/>
  <c r="H189" i="6"/>
  <c r="I189" i="6" s="1"/>
  <c r="K189" i="6" s="1"/>
  <c r="H190" i="6"/>
  <c r="H191" i="6"/>
  <c r="I191" i="6" s="1"/>
  <c r="K191" i="6" s="1"/>
  <c r="H192" i="6"/>
  <c r="I192" i="6" s="1"/>
  <c r="K192" i="6" s="1"/>
  <c r="H193" i="6"/>
  <c r="I193" i="6" s="1"/>
  <c r="K193" i="6" s="1"/>
  <c r="H194" i="6"/>
  <c r="I194" i="6" s="1"/>
  <c r="K194" i="6" s="1"/>
  <c r="H195" i="6"/>
  <c r="I195" i="6" s="1"/>
  <c r="K195" i="6" s="1"/>
  <c r="H196" i="6"/>
  <c r="I196" i="6" s="1"/>
  <c r="K196" i="6" s="1"/>
  <c r="H197" i="6"/>
  <c r="I197" i="6" s="1"/>
  <c r="K197" i="6" s="1"/>
  <c r="H198" i="6"/>
  <c r="H199" i="6"/>
  <c r="I199" i="6" s="1"/>
  <c r="K199" i="6" s="1"/>
  <c r="H200" i="6"/>
  <c r="I200" i="6" s="1"/>
  <c r="K200" i="6" s="1"/>
  <c r="H201" i="6"/>
  <c r="I201" i="6" s="1"/>
  <c r="K201" i="6" s="1"/>
  <c r="H202" i="6"/>
  <c r="I202" i="6" s="1"/>
  <c r="K202" i="6" s="1"/>
  <c r="H203" i="6"/>
  <c r="I203" i="6" s="1"/>
  <c r="K203" i="6" s="1"/>
  <c r="H204" i="6"/>
  <c r="I204" i="6" s="1"/>
  <c r="K204" i="6" s="1"/>
  <c r="H205" i="6"/>
  <c r="I205" i="6" s="1"/>
  <c r="K205" i="6" s="1"/>
  <c r="H206" i="6"/>
  <c r="H207" i="6"/>
  <c r="I207" i="6" s="1"/>
  <c r="K207" i="6" s="1"/>
  <c r="H208" i="6"/>
  <c r="I208" i="6" s="1"/>
  <c r="K208" i="6" s="1"/>
  <c r="H209" i="6"/>
  <c r="I209" i="6" s="1"/>
  <c r="K209" i="6" s="1"/>
  <c r="H210" i="6"/>
  <c r="I210" i="6" s="1"/>
  <c r="K210" i="6" s="1"/>
  <c r="H211" i="6"/>
  <c r="I211" i="6" s="1"/>
  <c r="K211" i="6" s="1"/>
  <c r="H212" i="6"/>
  <c r="I212" i="6" s="1"/>
  <c r="K212" i="6" s="1"/>
  <c r="H213" i="6"/>
  <c r="I213" i="6" s="1"/>
  <c r="K213" i="6" s="1"/>
  <c r="H214" i="6"/>
  <c r="H3" i="6"/>
  <c r="I3" i="6" s="1"/>
  <c r="K3" i="6" s="1"/>
  <c r="H2" i="6"/>
  <c r="I2" i="6" s="1"/>
  <c r="K2" i="6" s="1"/>
  <c r="D19" i="2"/>
  <c r="D20" i="2"/>
  <c r="D21" i="2"/>
  <c r="E3" i="3" a="1"/>
  <c r="E3" i="3" s="1"/>
  <c r="E4" i="3" a="1"/>
  <c r="E4" i="3" s="1"/>
  <c r="E5" i="3" a="1"/>
  <c r="E5" i="3" s="1"/>
  <c r="E6" i="3" a="1"/>
  <c r="E6" i="3" s="1"/>
  <c r="E2" i="3" a="1"/>
  <c r="E2" i="3" s="1"/>
  <c r="D5" i="2"/>
  <c r="D6" i="2"/>
  <c r="D7" i="2"/>
  <c r="D8" i="2"/>
  <c r="D9" i="2"/>
  <c r="D11" i="2"/>
  <c r="D12" i="2"/>
  <c r="D13" i="2"/>
  <c r="D10" i="2"/>
  <c r="D3" i="2"/>
  <c r="D4" i="2"/>
  <c r="D2" i="2"/>
  <c r="J5" i="5"/>
  <c r="J3" i="5"/>
  <c r="J4" i="5"/>
  <c r="J6" i="5"/>
  <c r="J7" i="5"/>
  <c r="J8" i="5"/>
  <c r="J9" i="5"/>
  <c r="J10" i="5"/>
  <c r="J11" i="5"/>
  <c r="J12" i="5"/>
  <c r="J13" i="5"/>
  <c r="J14" i="5"/>
  <c r="J15" i="5"/>
  <c r="J16" i="5"/>
  <c r="J17" i="5"/>
  <c r="J18" i="5"/>
  <c r="J19" i="5"/>
  <c r="J20" i="5"/>
  <c r="J21" i="5"/>
  <c r="J22" i="5"/>
  <c r="J23" i="5"/>
  <c r="J28" i="5"/>
  <c r="J29" i="5"/>
  <c r="J30" i="5"/>
  <c r="J31" i="5"/>
  <c r="J32" i="5"/>
  <c r="J33" i="5"/>
  <c r="J34" i="5"/>
  <c r="J35" i="5"/>
  <c r="J36" i="5"/>
  <c r="J37" i="5"/>
  <c r="J38" i="5"/>
  <c r="J39" i="5"/>
  <c r="J40" i="5"/>
  <c r="J41" i="5"/>
  <c r="J42" i="5"/>
  <c r="J43" i="5"/>
  <c r="J44" i="5"/>
  <c r="J45" i="5"/>
  <c r="J46" i="5"/>
  <c r="J47" i="5"/>
  <c r="J48" i="5"/>
  <c r="J49" i="5"/>
  <c r="J50" i="5"/>
  <c r="J51" i="5"/>
  <c r="J52" i="5"/>
  <c r="J53" i="5"/>
  <c r="J54" i="5"/>
  <c r="O13" i="2" s="1"/>
  <c r="J55" i="5"/>
  <c r="J56" i="5"/>
  <c r="J57" i="5"/>
  <c r="J58" i="5"/>
  <c r="J59" i="5"/>
  <c r="J60" i="5"/>
  <c r="J66" i="5"/>
  <c r="J67" i="5"/>
  <c r="J68" i="5"/>
  <c r="J69" i="5"/>
  <c r="J2" i="5"/>
  <c r="G20" i="2" l="1"/>
  <c r="G12" i="2"/>
  <c r="G4" i="2"/>
  <c r="G19" i="2"/>
  <c r="G11" i="2"/>
  <c r="G3" i="2"/>
  <c r="G18" i="2"/>
  <c r="G10" i="2"/>
  <c r="G17" i="2"/>
  <c r="G9" i="2"/>
  <c r="G16" i="2"/>
  <c r="G8" i="2"/>
  <c r="G15" i="2"/>
  <c r="G7" i="2"/>
  <c r="G2" i="2"/>
  <c r="G14" i="2"/>
  <c r="G6" i="2"/>
  <c r="G21" i="2"/>
  <c r="G13" i="2"/>
  <c r="G5" i="2"/>
  <c r="I2" i="3"/>
  <c r="I6" i="3"/>
  <c r="I5" i="3"/>
  <c r="I4" i="3"/>
  <c r="I3" i="3"/>
  <c r="R3" i="6"/>
  <c r="R217" i="6"/>
  <c r="R209" i="6"/>
  <c r="R201" i="6"/>
  <c r="R193" i="6"/>
  <c r="R185" i="6"/>
  <c r="R177" i="6"/>
  <c r="R169" i="6"/>
  <c r="R161" i="6"/>
  <c r="R153" i="6"/>
  <c r="V220" i="6"/>
  <c r="V212" i="6"/>
  <c r="V204" i="6"/>
  <c r="V196" i="6"/>
  <c r="V188" i="6"/>
  <c r="V180" i="6"/>
  <c r="V172" i="6"/>
  <c r="V164" i="6"/>
  <c r="V156" i="6"/>
  <c r="V148" i="6"/>
  <c r="V140" i="6"/>
  <c r="V132" i="6"/>
  <c r="V124" i="6"/>
  <c r="V116" i="6"/>
  <c r="V108" i="6"/>
  <c r="V100" i="6"/>
  <c r="V92" i="6"/>
  <c r="V84" i="6"/>
  <c r="V76" i="6"/>
  <c r="V68" i="6"/>
  <c r="V60" i="6"/>
  <c r="V52" i="6"/>
  <c r="V44" i="6"/>
  <c r="V36" i="6"/>
  <c r="V28" i="6"/>
  <c r="V20" i="6"/>
  <c r="S10" i="6"/>
  <c r="S9" i="6"/>
  <c r="V12" i="6"/>
  <c r="V11" i="6"/>
  <c r="V203" i="6"/>
  <c r="V147" i="6"/>
  <c r="V107" i="6"/>
  <c r="V51" i="6"/>
  <c r="V210" i="6"/>
  <c r="V202" i="6"/>
  <c r="V194" i="6"/>
  <c r="V186" i="6"/>
  <c r="V178" i="6"/>
  <c r="V170" i="6"/>
  <c r="V162" i="6"/>
  <c r="V154" i="6"/>
  <c r="V146" i="6"/>
  <c r="V138" i="6"/>
  <c r="V130" i="6"/>
  <c r="V122" i="6"/>
  <c r="V114" i="6"/>
  <c r="V106" i="6"/>
  <c r="V98" i="6"/>
  <c r="V90" i="6"/>
  <c r="V82" i="6"/>
  <c r="V74" i="6"/>
  <c r="V66" i="6"/>
  <c r="V58" i="6"/>
  <c r="V50" i="6"/>
  <c r="V42" i="6"/>
  <c r="V34" i="6"/>
  <c r="V26" i="6"/>
  <c r="V18" i="6"/>
  <c r="V10" i="6"/>
  <c r="V219" i="6"/>
  <c r="V163" i="6"/>
  <c r="V123" i="6"/>
  <c r="V83" i="6"/>
  <c r="V35" i="6"/>
  <c r="V218" i="6"/>
  <c r="V217" i="6"/>
  <c r="V177" i="6"/>
  <c r="V169" i="6"/>
  <c r="V161" i="6"/>
  <c r="V153" i="6"/>
  <c r="V145" i="6"/>
  <c r="V137" i="6"/>
  <c r="V129" i="6"/>
  <c r="V121" i="6"/>
  <c r="V113" i="6"/>
  <c r="V105" i="6"/>
  <c r="V97" i="6"/>
  <c r="V89" i="6"/>
  <c r="V81" i="6"/>
  <c r="V73" i="6"/>
  <c r="V65" i="6"/>
  <c r="V57" i="6"/>
  <c r="V49" i="6"/>
  <c r="V41" i="6"/>
  <c r="V33" i="6"/>
  <c r="V25" i="6"/>
  <c r="V17" i="6"/>
  <c r="V9" i="6"/>
  <c r="V211" i="6"/>
  <c r="V171" i="6"/>
  <c r="V115" i="6"/>
  <c r="V75" i="6"/>
  <c r="V43" i="6"/>
  <c r="V209" i="6"/>
  <c r="V216" i="6"/>
  <c r="V200" i="6"/>
  <c r="V192" i="6"/>
  <c r="V184" i="6"/>
  <c r="V176" i="6"/>
  <c r="V168" i="6"/>
  <c r="V160" i="6"/>
  <c r="V152" i="6"/>
  <c r="V144" i="6"/>
  <c r="V136" i="6"/>
  <c r="V128" i="6"/>
  <c r="V120" i="6"/>
  <c r="V112" i="6"/>
  <c r="V104" i="6"/>
  <c r="V96" i="6"/>
  <c r="V88" i="6"/>
  <c r="V80" i="6"/>
  <c r="V72" i="6"/>
  <c r="V64" i="6"/>
  <c r="V56" i="6"/>
  <c r="V48" i="6"/>
  <c r="V40" i="6"/>
  <c r="V32" i="6"/>
  <c r="V187" i="6"/>
  <c r="V131" i="6"/>
  <c r="V67" i="6"/>
  <c r="V27" i="6"/>
  <c r="V201" i="6"/>
  <c r="V215" i="6"/>
  <c r="V175" i="6"/>
  <c r="V151" i="6"/>
  <c r="V135" i="6"/>
  <c r="V119" i="6"/>
  <c r="V111" i="6"/>
  <c r="V103" i="6"/>
  <c r="V95" i="6"/>
  <c r="V87" i="6"/>
  <c r="V79" i="6"/>
  <c r="V71" i="6"/>
  <c r="V63" i="6"/>
  <c r="V55" i="6"/>
  <c r="V47" i="6"/>
  <c r="V39" i="6"/>
  <c r="V31" i="6"/>
  <c r="V23" i="6"/>
  <c r="V15" i="6"/>
  <c r="V195" i="6"/>
  <c r="V155" i="6"/>
  <c r="V99" i="6"/>
  <c r="V59" i="6"/>
  <c r="V8" i="6"/>
  <c r="V193" i="6"/>
  <c r="V208" i="6"/>
  <c r="V199" i="6"/>
  <c r="V191" i="6"/>
  <c r="V167" i="6"/>
  <c r="V143" i="6"/>
  <c r="V4" i="6"/>
  <c r="V214" i="6"/>
  <c r="V206" i="6"/>
  <c r="V198" i="6"/>
  <c r="V190" i="6"/>
  <c r="V182" i="6"/>
  <c r="V174" i="6"/>
  <c r="V166" i="6"/>
  <c r="V158" i="6"/>
  <c r="V150" i="6"/>
  <c r="V142" i="6"/>
  <c r="V134" i="6"/>
  <c r="V126" i="6"/>
  <c r="V118" i="6"/>
  <c r="V110" i="6"/>
  <c r="V102" i="6"/>
  <c r="V94" i="6"/>
  <c r="V86" i="6"/>
  <c r="V78" i="6"/>
  <c r="V70" i="6"/>
  <c r="V62" i="6"/>
  <c r="V54" i="6"/>
  <c r="V46" i="6"/>
  <c r="V38" i="6"/>
  <c r="V30" i="6"/>
  <c r="V22" i="6"/>
  <c r="V14" i="6"/>
  <c r="V179" i="6"/>
  <c r="V139" i="6"/>
  <c r="V91" i="6"/>
  <c r="V19" i="6"/>
  <c r="V7" i="6"/>
  <c r="V185" i="6"/>
  <c r="V6" i="6"/>
  <c r="V5" i="6"/>
  <c r="V207" i="6"/>
  <c r="V183" i="6"/>
  <c r="V159" i="6"/>
  <c r="V127" i="6"/>
  <c r="V3" i="6"/>
  <c r="V213" i="6"/>
  <c r="V205" i="6"/>
  <c r="V197" i="6"/>
  <c r="V189" i="6"/>
  <c r="V181" i="6"/>
  <c r="V173" i="6"/>
  <c r="V165" i="6"/>
  <c r="V157" i="6"/>
  <c r="V149" i="6"/>
  <c r="V141" i="6"/>
  <c r="V133" i="6"/>
  <c r="V125" i="6"/>
  <c r="V117" i="6"/>
  <c r="V109" i="6"/>
  <c r="V101" i="6"/>
  <c r="V93" i="6"/>
  <c r="V85" i="6"/>
  <c r="V77" i="6"/>
  <c r="V69" i="6"/>
  <c r="V61" i="6"/>
  <c r="V53" i="6"/>
  <c r="V45" i="6"/>
  <c r="V37" i="6"/>
  <c r="V29" i="6"/>
  <c r="V21" i="6"/>
  <c r="V13" i="6"/>
  <c r="S2" i="6"/>
  <c r="T2" i="6" s="1"/>
  <c r="S214" i="6"/>
  <c r="S206" i="6"/>
  <c r="S198" i="6"/>
  <c r="S190" i="6"/>
  <c r="S182" i="6"/>
  <c r="S174" i="6"/>
  <c r="S166" i="6"/>
  <c r="S158" i="6"/>
  <c r="S150" i="6"/>
  <c r="S142" i="6"/>
  <c r="S134" i="6"/>
  <c r="S126" i="6"/>
  <c r="S118" i="6"/>
  <c r="S110" i="6"/>
  <c r="S102" i="6"/>
  <c r="S94" i="6"/>
  <c r="S86" i="6"/>
  <c r="S78" i="6"/>
  <c r="S70" i="6"/>
  <c r="S62" i="6"/>
  <c r="S54" i="6"/>
  <c r="S46" i="6"/>
  <c r="S38" i="6"/>
  <c r="S30" i="6"/>
  <c r="S22" i="6"/>
  <c r="S14" i="6"/>
  <c r="S6" i="6"/>
  <c r="S213" i="6"/>
  <c r="S205" i="6"/>
  <c r="S197" i="6"/>
  <c r="S189" i="6"/>
  <c r="S181" i="6"/>
  <c r="S173" i="6"/>
  <c r="S165" i="6"/>
  <c r="S157" i="6"/>
  <c r="S149" i="6"/>
  <c r="S141" i="6"/>
  <c r="S133" i="6"/>
  <c r="S125" i="6"/>
  <c r="S117" i="6"/>
  <c r="S109" i="6"/>
  <c r="S101" i="6"/>
  <c r="S93" i="6"/>
  <c r="S85" i="6"/>
  <c r="S77" i="6"/>
  <c r="S69" i="6"/>
  <c r="S61" i="6"/>
  <c r="S53" i="6"/>
  <c r="S45" i="6"/>
  <c r="S37" i="6"/>
  <c r="S29" i="6"/>
  <c r="S21" i="6"/>
  <c r="S13" i="6"/>
  <c r="S5" i="6"/>
  <c r="S220" i="6"/>
  <c r="S212" i="6"/>
  <c r="S204" i="6"/>
  <c r="S196" i="6"/>
  <c r="S188" i="6"/>
  <c r="S180" i="6"/>
  <c r="S172" i="6"/>
  <c r="S164" i="6"/>
  <c r="S156" i="6"/>
  <c r="S148" i="6"/>
  <c r="S140" i="6"/>
  <c r="S132" i="6"/>
  <c r="S124" i="6"/>
  <c r="S116" i="6"/>
  <c r="S108" i="6"/>
  <c r="S100" i="6"/>
  <c r="S92" i="6"/>
  <c r="S84" i="6"/>
  <c r="S76" i="6"/>
  <c r="S68" i="6"/>
  <c r="S60" i="6"/>
  <c r="S52" i="6"/>
  <c r="S44" i="6"/>
  <c r="S36" i="6"/>
  <c r="S28" i="6"/>
  <c r="S20" i="6"/>
  <c r="S12" i="6"/>
  <c r="S4" i="6"/>
  <c r="V24" i="6"/>
  <c r="V16" i="6"/>
  <c r="S219" i="6"/>
  <c r="S211" i="6"/>
  <c r="S203" i="6"/>
  <c r="S195" i="6"/>
  <c r="S187" i="6"/>
  <c r="S179" i="6"/>
  <c r="S171" i="6"/>
  <c r="S163" i="6"/>
  <c r="S155" i="6"/>
  <c r="S147" i="6"/>
  <c r="S139" i="6"/>
  <c r="S131" i="6"/>
  <c r="S123" i="6"/>
  <c r="S115" i="6"/>
  <c r="S107" i="6"/>
  <c r="S99" i="6"/>
  <c r="S91" i="6"/>
  <c r="S83" i="6"/>
  <c r="S75" i="6"/>
  <c r="S67" i="6"/>
  <c r="S59" i="6"/>
  <c r="S51" i="6"/>
  <c r="S43" i="6"/>
  <c r="S35" i="6"/>
  <c r="S27" i="6"/>
  <c r="S19" i="6"/>
  <c r="S11" i="6"/>
  <c r="S3" i="6"/>
  <c r="S218" i="6"/>
  <c r="S210" i="6"/>
  <c r="S202" i="6"/>
  <c r="S194" i="6"/>
  <c r="S186" i="6"/>
  <c r="S178" i="6"/>
  <c r="S170" i="6"/>
  <c r="S162" i="6"/>
  <c r="S154" i="6"/>
  <c r="S146" i="6"/>
  <c r="S138" i="6"/>
  <c r="S130" i="6"/>
  <c r="S122" i="6"/>
  <c r="S114" i="6"/>
  <c r="S106" i="6"/>
  <c r="S98" i="6"/>
  <c r="S90" i="6"/>
  <c r="S82" i="6"/>
  <c r="S74" i="6"/>
  <c r="S66" i="6"/>
  <c r="S58" i="6"/>
  <c r="S50" i="6"/>
  <c r="S42" i="6"/>
  <c r="S34" i="6"/>
  <c r="S26" i="6"/>
  <c r="S18" i="6"/>
  <c r="S217" i="6"/>
  <c r="S209" i="6"/>
  <c r="S201" i="6"/>
  <c r="S193" i="6"/>
  <c r="S185" i="6"/>
  <c r="S177" i="6"/>
  <c r="S169" i="6"/>
  <c r="S161" i="6"/>
  <c r="S153" i="6"/>
  <c r="S145" i="6"/>
  <c r="S137" i="6"/>
  <c r="S129" i="6"/>
  <c r="S121" i="6"/>
  <c r="S113" i="6"/>
  <c r="S105" i="6"/>
  <c r="S97" i="6"/>
  <c r="S89" i="6"/>
  <c r="S81" i="6"/>
  <c r="S73" i="6"/>
  <c r="S65" i="6"/>
  <c r="S57" i="6"/>
  <c r="S49" i="6"/>
  <c r="S41" i="6"/>
  <c r="S33" i="6"/>
  <c r="S25" i="6"/>
  <c r="S17" i="6"/>
  <c r="S216" i="6"/>
  <c r="S208" i="6"/>
  <c r="S200" i="6"/>
  <c r="S192" i="6"/>
  <c r="S184" i="6"/>
  <c r="S176" i="6"/>
  <c r="S168" i="6"/>
  <c r="S160" i="6"/>
  <c r="S152" i="6"/>
  <c r="S144" i="6"/>
  <c r="S136" i="6"/>
  <c r="S128" i="6"/>
  <c r="S120" i="6"/>
  <c r="S112" i="6"/>
  <c r="S104" i="6"/>
  <c r="S96" i="6"/>
  <c r="S88" i="6"/>
  <c r="S80" i="6"/>
  <c r="S72" i="6"/>
  <c r="S64" i="6"/>
  <c r="S56" i="6"/>
  <c r="S48" i="6"/>
  <c r="S40" i="6"/>
  <c r="S32" i="6"/>
  <c r="S24" i="6"/>
  <c r="S16" i="6"/>
  <c r="S8" i="6"/>
  <c r="S215" i="6"/>
  <c r="S207" i="6"/>
  <c r="S199" i="6"/>
  <c r="S191" i="6"/>
  <c r="S183" i="6"/>
  <c r="S175" i="6"/>
  <c r="S167" i="6"/>
  <c r="S159" i="6"/>
  <c r="S151" i="6"/>
  <c r="S143" i="6"/>
  <c r="S135" i="6"/>
  <c r="S127" i="6"/>
  <c r="S119" i="6"/>
  <c r="S111" i="6"/>
  <c r="S103" i="6"/>
  <c r="S95" i="6"/>
  <c r="S87" i="6"/>
  <c r="S79" i="6"/>
  <c r="S71" i="6"/>
  <c r="S63" i="6"/>
  <c r="S55" i="6"/>
  <c r="S47" i="6"/>
  <c r="S39" i="6"/>
  <c r="S31" i="6"/>
  <c r="S23" i="6"/>
  <c r="S15" i="6"/>
  <c r="S7" i="6"/>
  <c r="R145" i="6"/>
  <c r="R137" i="6"/>
  <c r="R129" i="6"/>
  <c r="R121" i="6"/>
  <c r="R113" i="6"/>
  <c r="R105" i="6"/>
  <c r="R97" i="6"/>
  <c r="R89" i="6"/>
  <c r="R81" i="6"/>
  <c r="R73" i="6"/>
  <c r="R65" i="6"/>
  <c r="R57" i="6"/>
  <c r="R49" i="6"/>
  <c r="R41" i="6"/>
  <c r="R33" i="6"/>
  <c r="R25" i="6"/>
  <c r="R17" i="6"/>
  <c r="R218" i="6"/>
  <c r="R210" i="6"/>
  <c r="R202" i="6"/>
  <c r="R194" i="6"/>
  <c r="R186" i="6"/>
  <c r="R178" i="6"/>
  <c r="R170" i="6"/>
  <c r="R162" i="6"/>
  <c r="R154" i="6"/>
  <c r="R146" i="6"/>
  <c r="R138" i="6"/>
  <c r="R130" i="6"/>
  <c r="R122" i="6"/>
  <c r="R114" i="6"/>
  <c r="R106" i="6"/>
  <c r="R98" i="6"/>
  <c r="R90" i="6"/>
  <c r="R82" i="6"/>
  <c r="R74" i="6"/>
  <c r="R66" i="6"/>
  <c r="R58" i="6"/>
  <c r="R50" i="6"/>
  <c r="R42" i="6"/>
  <c r="R34" i="6"/>
  <c r="R26" i="6"/>
  <c r="R18" i="6"/>
  <c r="R10" i="6"/>
  <c r="R99" i="6"/>
  <c r="R215" i="6"/>
  <c r="R207" i="6"/>
  <c r="R199" i="6"/>
  <c r="R191" i="6"/>
  <c r="R183" i="6"/>
  <c r="R175" i="6"/>
  <c r="R167" i="6"/>
  <c r="R159" i="6"/>
  <c r="R151" i="6"/>
  <c r="R143" i="6"/>
  <c r="R135" i="6"/>
  <c r="R127" i="6"/>
  <c r="R119" i="6"/>
  <c r="R111" i="6"/>
  <c r="R103" i="6"/>
  <c r="R95" i="6"/>
  <c r="R87" i="6"/>
  <c r="R79" i="6"/>
  <c r="R71" i="6"/>
  <c r="R63" i="6"/>
  <c r="R55" i="6"/>
  <c r="R47" i="6"/>
  <c r="R39" i="6"/>
  <c r="R31" i="6"/>
  <c r="R23" i="6"/>
  <c r="R15" i="6"/>
  <c r="R7" i="6"/>
  <c r="R214" i="6"/>
  <c r="R206" i="6"/>
  <c r="R198" i="6"/>
  <c r="R190" i="6"/>
  <c r="R182" i="6"/>
  <c r="R174" i="6"/>
  <c r="R166" i="6"/>
  <c r="R158" i="6"/>
  <c r="R150" i="6"/>
  <c r="R142" i="6"/>
  <c r="R134" i="6"/>
  <c r="R126" i="6"/>
  <c r="R118" i="6"/>
  <c r="R110" i="6"/>
  <c r="R102" i="6"/>
  <c r="R94" i="6"/>
  <c r="R86" i="6"/>
  <c r="R78" i="6"/>
  <c r="R70" i="6"/>
  <c r="R62" i="6"/>
  <c r="R54" i="6"/>
  <c r="R46" i="6"/>
  <c r="R38" i="6"/>
  <c r="R30" i="6"/>
  <c r="R22" i="6"/>
  <c r="R14" i="6"/>
  <c r="R19" i="6"/>
  <c r="R213" i="6"/>
  <c r="R205" i="6"/>
  <c r="R197" i="6"/>
  <c r="R189" i="6"/>
  <c r="R181" i="6"/>
  <c r="R173" i="6"/>
  <c r="R165" i="6"/>
  <c r="R157" i="6"/>
  <c r="R149" i="6"/>
  <c r="R141" i="6"/>
  <c r="R133" i="6"/>
  <c r="R125" i="6"/>
  <c r="R117" i="6"/>
  <c r="R109" i="6"/>
  <c r="R101" i="6"/>
  <c r="R93" i="6"/>
  <c r="R85" i="6"/>
  <c r="R77" i="6"/>
  <c r="R69" i="6"/>
  <c r="R61" i="6"/>
  <c r="R53" i="6"/>
  <c r="R45" i="6"/>
  <c r="R37" i="6"/>
  <c r="R29" i="6"/>
  <c r="R21" i="6"/>
  <c r="R13" i="6"/>
  <c r="R5" i="6"/>
  <c r="R220" i="6"/>
  <c r="R212" i="6"/>
  <c r="R204" i="6"/>
  <c r="R196" i="6"/>
  <c r="R188" i="6"/>
  <c r="R180" i="6"/>
  <c r="R172" i="6"/>
  <c r="R164" i="6"/>
  <c r="R156" i="6"/>
  <c r="R148" i="6"/>
  <c r="R140" i="6"/>
  <c r="R132" i="6"/>
  <c r="R124" i="6"/>
  <c r="R116" i="6"/>
  <c r="R108" i="6"/>
  <c r="R100" i="6"/>
  <c r="R92" i="6"/>
  <c r="R84" i="6"/>
  <c r="R76" i="6"/>
  <c r="R68" i="6"/>
  <c r="R60" i="6"/>
  <c r="R52" i="6"/>
  <c r="R44" i="6"/>
  <c r="R36" i="6"/>
  <c r="R28" i="6"/>
  <c r="R20" i="6"/>
  <c r="R12" i="6"/>
  <c r="R4" i="6"/>
  <c r="R9" i="6"/>
  <c r="M218" i="6"/>
  <c r="R216" i="6"/>
  <c r="R208" i="6"/>
  <c r="R200" i="6"/>
  <c r="R192" i="6"/>
  <c r="R184" i="6"/>
  <c r="R176" i="6"/>
  <c r="R168" i="6"/>
  <c r="R160" i="6"/>
  <c r="R152" i="6"/>
  <c r="R144" i="6"/>
  <c r="R136" i="6"/>
  <c r="R128" i="6"/>
  <c r="R120" i="6"/>
  <c r="R112" i="6"/>
  <c r="R104" i="6"/>
  <c r="R96" i="6"/>
  <c r="R88" i="6"/>
  <c r="R80" i="6"/>
  <c r="R72" i="6"/>
  <c r="R64" i="6"/>
  <c r="R56" i="6"/>
  <c r="R48" i="6"/>
  <c r="R40" i="6"/>
  <c r="R32" i="6"/>
  <c r="R24" i="6"/>
  <c r="R16" i="6"/>
  <c r="R8" i="6"/>
  <c r="R6" i="6"/>
  <c r="O216" i="6"/>
  <c r="R2" i="6"/>
  <c r="R219" i="6"/>
  <c r="R211" i="6"/>
  <c r="R203" i="6"/>
  <c r="R195" i="6"/>
  <c r="R187" i="6"/>
  <c r="R179" i="6"/>
  <c r="R171" i="6"/>
  <c r="R163" i="6"/>
  <c r="R155" i="6"/>
  <c r="R147" i="6"/>
  <c r="R139" i="6"/>
  <c r="R131" i="6"/>
  <c r="R123" i="6"/>
  <c r="R115" i="6"/>
  <c r="R107" i="6"/>
  <c r="R91" i="6"/>
  <c r="R83" i="6"/>
  <c r="R75" i="6"/>
  <c r="R67" i="6"/>
  <c r="R59" i="6"/>
  <c r="R51" i="6"/>
  <c r="R43" i="6"/>
  <c r="R35" i="6"/>
  <c r="R27" i="6"/>
  <c r="R11" i="6"/>
  <c r="O217" i="6"/>
  <c r="O4" i="6"/>
  <c r="M219" i="6"/>
  <c r="O3" i="6"/>
  <c r="O213" i="6"/>
  <c r="O205" i="6"/>
  <c r="O197" i="6"/>
  <c r="O189" i="6"/>
  <c r="O181" i="6"/>
  <c r="O173" i="6"/>
  <c r="O165" i="6"/>
  <c r="O157" i="6"/>
  <c r="O149" i="6"/>
  <c r="O141" i="6"/>
  <c r="O133" i="6"/>
  <c r="O125" i="6"/>
  <c r="O117" i="6"/>
  <c r="O109" i="6"/>
  <c r="O101" i="6"/>
  <c r="O93" i="6"/>
  <c r="O85" i="6"/>
  <c r="O77" i="6"/>
  <c r="O69" i="6"/>
  <c r="O61" i="6"/>
  <c r="O53" i="6"/>
  <c r="O45" i="6"/>
  <c r="O37" i="6"/>
  <c r="O29" i="6"/>
  <c r="O21" i="6"/>
  <c r="O13" i="6"/>
  <c r="O220" i="6"/>
  <c r="O212" i="6"/>
  <c r="O204" i="6"/>
  <c r="O196" i="6"/>
  <c r="O188" i="6"/>
  <c r="O180" i="6"/>
  <c r="O172" i="6"/>
  <c r="O164" i="6"/>
  <c r="O156" i="6"/>
  <c r="O148" i="6"/>
  <c r="O140" i="6"/>
  <c r="O132" i="6"/>
  <c r="O124" i="6"/>
  <c r="O116" i="6"/>
  <c r="O108" i="6"/>
  <c r="O100" i="6"/>
  <c r="O92" i="6"/>
  <c r="O84" i="6"/>
  <c r="O76" i="6"/>
  <c r="O68" i="6"/>
  <c r="O60" i="6"/>
  <c r="O52" i="6"/>
  <c r="O44" i="6"/>
  <c r="O36" i="6"/>
  <c r="O28" i="6"/>
  <c r="O20" i="6"/>
  <c r="O12" i="6"/>
  <c r="M217" i="6"/>
  <c r="O2" i="6"/>
  <c r="P2" i="6" s="1"/>
  <c r="O219" i="6"/>
  <c r="O211" i="6"/>
  <c r="O203" i="6"/>
  <c r="O195" i="6"/>
  <c r="O187" i="6"/>
  <c r="O179" i="6"/>
  <c r="O171" i="6"/>
  <c r="O163" i="6"/>
  <c r="O155" i="6"/>
  <c r="O147" i="6"/>
  <c r="O139" i="6"/>
  <c r="O131" i="6"/>
  <c r="O123" i="6"/>
  <c r="O115" i="6"/>
  <c r="O107" i="6"/>
  <c r="O99" i="6"/>
  <c r="O91" i="6"/>
  <c r="O83" i="6"/>
  <c r="O75" i="6"/>
  <c r="O67" i="6"/>
  <c r="O59" i="6"/>
  <c r="O51" i="6"/>
  <c r="O43" i="6"/>
  <c r="O35" i="6"/>
  <c r="O27" i="6"/>
  <c r="O19" i="6"/>
  <c r="O11" i="6"/>
  <c r="M216" i="6"/>
  <c r="O8" i="6"/>
  <c r="O218" i="6"/>
  <c r="O210" i="6"/>
  <c r="O202" i="6"/>
  <c r="O194" i="6"/>
  <c r="O186" i="6"/>
  <c r="O178" i="6"/>
  <c r="O170" i="6"/>
  <c r="O162" i="6"/>
  <c r="O154" i="6"/>
  <c r="O146" i="6"/>
  <c r="O138" i="6"/>
  <c r="O130" i="6"/>
  <c r="O122" i="6"/>
  <c r="O114" i="6"/>
  <c r="O106" i="6"/>
  <c r="O98" i="6"/>
  <c r="O90" i="6"/>
  <c r="O82" i="6"/>
  <c r="O74" i="6"/>
  <c r="O66" i="6"/>
  <c r="O58" i="6"/>
  <c r="O50" i="6"/>
  <c r="O42" i="6"/>
  <c r="O34" i="6"/>
  <c r="O26" i="6"/>
  <c r="O18" i="6"/>
  <c r="O10" i="6"/>
  <c r="O7" i="6"/>
  <c r="O209" i="6"/>
  <c r="O201" i="6"/>
  <c r="O193" i="6"/>
  <c r="O185" i="6"/>
  <c r="O177" i="6"/>
  <c r="O169" i="6"/>
  <c r="O161" i="6"/>
  <c r="O153" i="6"/>
  <c r="O145" i="6"/>
  <c r="O137" i="6"/>
  <c r="O129" i="6"/>
  <c r="O121" i="6"/>
  <c r="O113" i="6"/>
  <c r="O105" i="6"/>
  <c r="O97" i="6"/>
  <c r="O89" i="6"/>
  <c r="O81" i="6"/>
  <c r="O73" i="6"/>
  <c r="O65" i="6"/>
  <c r="O57" i="6"/>
  <c r="O49" i="6"/>
  <c r="O41" i="6"/>
  <c r="O33" i="6"/>
  <c r="O25" i="6"/>
  <c r="O17" i="6"/>
  <c r="O9" i="6"/>
  <c r="O208" i="6"/>
  <c r="O200" i="6"/>
  <c r="O192" i="6"/>
  <c r="O184" i="6"/>
  <c r="O176" i="6"/>
  <c r="O168" i="6"/>
  <c r="O160" i="6"/>
  <c r="O152" i="6"/>
  <c r="O136" i="6"/>
  <c r="O128" i="6"/>
  <c r="O120" i="6"/>
  <c r="O112" i="6"/>
  <c r="O104" i="6"/>
  <c r="O96" i="6"/>
  <c r="O88" i="6"/>
  <c r="O80" i="6"/>
  <c r="O64" i="6"/>
  <c r="O56" i="6"/>
  <c r="O40" i="6"/>
  <c r="O32" i="6"/>
  <c r="O16" i="6"/>
  <c r="O5" i="6"/>
  <c r="O215" i="6"/>
  <c r="O207" i="6"/>
  <c r="O199" i="6"/>
  <c r="O191" i="6"/>
  <c r="O183" i="6"/>
  <c r="O175" i="6"/>
  <c r="O167" i="6"/>
  <c r="O159" i="6"/>
  <c r="O151" i="6"/>
  <c r="O143" i="6"/>
  <c r="O135" i="6"/>
  <c r="O127" i="6"/>
  <c r="O119" i="6"/>
  <c r="O111" i="6"/>
  <c r="O103" i="6"/>
  <c r="O95" i="6"/>
  <c r="O87" i="6"/>
  <c r="O79" i="6"/>
  <c r="O71" i="6"/>
  <c r="O63" i="6"/>
  <c r="O55" i="6"/>
  <c r="O47" i="6"/>
  <c r="O39" i="6"/>
  <c r="O31" i="6"/>
  <c r="O23" i="6"/>
  <c r="O15" i="6"/>
  <c r="M220" i="6"/>
  <c r="M215" i="6"/>
  <c r="M207" i="6"/>
  <c r="M199" i="6"/>
  <c r="M191" i="6"/>
  <c r="M183" i="6"/>
  <c r="M175" i="6"/>
  <c r="M167" i="6"/>
  <c r="M159" i="6"/>
  <c r="M151" i="6"/>
  <c r="M143" i="6"/>
  <c r="M135" i="6"/>
  <c r="M127" i="6"/>
  <c r="M119" i="6"/>
  <c r="M111" i="6"/>
  <c r="M103" i="6"/>
  <c r="M95" i="6"/>
  <c r="M87" i="6"/>
  <c r="M79" i="6"/>
  <c r="M71" i="6"/>
  <c r="M63" i="6"/>
  <c r="M55" i="6"/>
  <c r="M47" i="6"/>
  <c r="M39" i="6"/>
  <c r="M31" i="6"/>
  <c r="M23" i="6"/>
  <c r="M15" i="6"/>
  <c r="M7" i="6"/>
  <c r="M2" i="6"/>
  <c r="N2" i="6" s="1"/>
  <c r="M213" i="6"/>
  <c r="M205" i="6"/>
  <c r="M197" i="6"/>
  <c r="M189" i="6"/>
  <c r="M181" i="6"/>
  <c r="M173" i="6"/>
  <c r="M165" i="6"/>
  <c r="M157" i="6"/>
  <c r="M149" i="6"/>
  <c r="M141" i="6"/>
  <c r="M133" i="6"/>
  <c r="M125" i="6"/>
  <c r="M117" i="6"/>
  <c r="M109" i="6"/>
  <c r="M101" i="6"/>
  <c r="M93" i="6"/>
  <c r="M85" i="6"/>
  <c r="M77" i="6"/>
  <c r="M69" i="6"/>
  <c r="M61" i="6"/>
  <c r="M53" i="6"/>
  <c r="M45" i="6"/>
  <c r="M37" i="6"/>
  <c r="M29" i="6"/>
  <c r="M21" i="6"/>
  <c r="M13" i="6"/>
  <c r="M5" i="6"/>
  <c r="M212" i="6"/>
  <c r="M204" i="6"/>
  <c r="M196" i="6"/>
  <c r="M188" i="6"/>
  <c r="M180" i="6"/>
  <c r="M172" i="6"/>
  <c r="M164" i="6"/>
  <c r="M156" i="6"/>
  <c r="M148" i="6"/>
  <c r="M140" i="6"/>
  <c r="M132" i="6"/>
  <c r="M124" i="6"/>
  <c r="M116" i="6"/>
  <c r="M108" i="6"/>
  <c r="M100" i="6"/>
  <c r="M92" i="6"/>
  <c r="M84" i="6"/>
  <c r="M76" i="6"/>
  <c r="M68" i="6"/>
  <c r="M60" i="6"/>
  <c r="M52" i="6"/>
  <c r="M44" i="6"/>
  <c r="M36" i="6"/>
  <c r="M28" i="6"/>
  <c r="M20" i="6"/>
  <c r="M12" i="6"/>
  <c r="M4" i="6"/>
  <c r="M211" i="6"/>
  <c r="M203" i="6"/>
  <c r="M195" i="6"/>
  <c r="M187" i="6"/>
  <c r="M179" i="6"/>
  <c r="M171" i="6"/>
  <c r="M163" i="6"/>
  <c r="M155" i="6"/>
  <c r="M147" i="6"/>
  <c r="M139" i="6"/>
  <c r="M131" i="6"/>
  <c r="M123" i="6"/>
  <c r="M115" i="6"/>
  <c r="M107" i="6"/>
  <c r="M99" i="6"/>
  <c r="M91" i="6"/>
  <c r="M83" i="6"/>
  <c r="M75" i="6"/>
  <c r="M67" i="6"/>
  <c r="M59" i="6"/>
  <c r="M51" i="6"/>
  <c r="M43" i="6"/>
  <c r="M35" i="6"/>
  <c r="M27" i="6"/>
  <c r="M19" i="6"/>
  <c r="M11" i="6"/>
  <c r="M3" i="6"/>
  <c r="M210" i="6"/>
  <c r="M202" i="6"/>
  <c r="M194" i="6"/>
  <c r="M186" i="6"/>
  <c r="M178" i="6"/>
  <c r="M170" i="6"/>
  <c r="M162" i="6"/>
  <c r="M154" i="6"/>
  <c r="M146" i="6"/>
  <c r="M138" i="6"/>
  <c r="M130" i="6"/>
  <c r="M122" i="6"/>
  <c r="M114" i="6"/>
  <c r="M106" i="6"/>
  <c r="M98" i="6"/>
  <c r="M90" i="6"/>
  <c r="M82" i="6"/>
  <c r="M74" i="6"/>
  <c r="M66" i="6"/>
  <c r="M58" i="6"/>
  <c r="M50" i="6"/>
  <c r="M42" i="6"/>
  <c r="M34" i="6"/>
  <c r="M26" i="6"/>
  <c r="M18" i="6"/>
  <c r="M10" i="6"/>
  <c r="M209" i="6"/>
  <c r="M201" i="6"/>
  <c r="M193" i="6"/>
  <c r="M185" i="6"/>
  <c r="M177" i="6"/>
  <c r="M169" i="6"/>
  <c r="M161" i="6"/>
  <c r="M153" i="6"/>
  <c r="M145" i="6"/>
  <c r="M137" i="6"/>
  <c r="M129" i="6"/>
  <c r="M121" i="6"/>
  <c r="M113" i="6"/>
  <c r="M105" i="6"/>
  <c r="M97" i="6"/>
  <c r="M89" i="6"/>
  <c r="M81" i="6"/>
  <c r="M73" i="6"/>
  <c r="M65" i="6"/>
  <c r="M57" i="6"/>
  <c r="M49" i="6"/>
  <c r="M41" i="6"/>
  <c r="M33" i="6"/>
  <c r="M25" i="6"/>
  <c r="M17" i="6"/>
  <c r="M9" i="6"/>
  <c r="M208" i="6"/>
  <c r="M200" i="6"/>
  <c r="M192" i="6"/>
  <c r="M184" i="6"/>
  <c r="M176" i="6"/>
  <c r="M168" i="6"/>
  <c r="M160" i="6"/>
  <c r="M152" i="6"/>
  <c r="M136" i="6"/>
  <c r="M128" i="6"/>
  <c r="M120" i="6"/>
  <c r="M112" i="6"/>
  <c r="M104" i="6"/>
  <c r="M96" i="6"/>
  <c r="M88" i="6"/>
  <c r="M80" i="6"/>
  <c r="M64" i="6"/>
  <c r="M56" i="6"/>
  <c r="M40" i="6"/>
  <c r="M32" i="6"/>
  <c r="M16" i="6"/>
  <c r="M8" i="6"/>
  <c r="G15" i="7"/>
  <c r="C26" i="7"/>
  <c r="G16" i="7"/>
  <c r="C21" i="7"/>
  <c r="C16" i="7"/>
  <c r="C15" i="7"/>
  <c r="C22" i="7"/>
  <c r="C25" i="7"/>
  <c r="C24" i="7"/>
  <c r="E8" i="3"/>
  <c r="O19" i="2"/>
  <c r="O21" i="2"/>
  <c r="O16" i="2"/>
  <c r="O7" i="2"/>
  <c r="C7" i="7"/>
  <c r="G21" i="7"/>
  <c r="H21" i="7"/>
  <c r="G22" i="7"/>
  <c r="G26" i="7"/>
  <c r="G25" i="7"/>
  <c r="G24" i="7"/>
  <c r="G23" i="7"/>
  <c r="K219" i="6"/>
  <c r="K220" i="6"/>
  <c r="K218" i="6"/>
  <c r="K217" i="6"/>
  <c r="K216" i="6"/>
  <c r="O8" i="2"/>
  <c r="L5" i="6"/>
  <c r="L4" i="6"/>
  <c r="L2" i="6"/>
  <c r="L3" i="6"/>
  <c r="F4" i="3" a="1"/>
  <c r="F4" i="3" s="1"/>
  <c r="O17" i="2"/>
  <c r="O15" i="2"/>
  <c r="O18" i="2"/>
  <c r="O14" i="2"/>
  <c r="J4" i="6"/>
  <c r="J2" i="6"/>
  <c r="J3" i="6"/>
  <c r="J5" i="6"/>
  <c r="I214" i="6"/>
  <c r="O214" i="6" s="1"/>
  <c r="I206" i="6"/>
  <c r="O206" i="6" s="1"/>
  <c r="I198" i="6"/>
  <c r="O198" i="6" s="1"/>
  <c r="I190" i="6"/>
  <c r="O190" i="6" s="1"/>
  <c r="I182" i="6"/>
  <c r="O182" i="6" s="1"/>
  <c r="I174" i="6"/>
  <c r="O174" i="6" s="1"/>
  <c r="I166" i="6"/>
  <c r="O166" i="6" s="1"/>
  <c r="I158" i="6"/>
  <c r="O158" i="6" s="1"/>
  <c r="I150" i="6"/>
  <c r="O150" i="6" s="1"/>
  <c r="I142" i="6"/>
  <c r="O142" i="6" s="1"/>
  <c r="I134" i="6"/>
  <c r="O134" i="6" s="1"/>
  <c r="I126" i="6"/>
  <c r="O126" i="6" s="1"/>
  <c r="I118" i="6"/>
  <c r="O118" i="6" s="1"/>
  <c r="I110" i="6"/>
  <c r="O110" i="6" s="1"/>
  <c r="I102" i="6"/>
  <c r="O102" i="6" s="1"/>
  <c r="I94" i="6"/>
  <c r="O94" i="6" s="1"/>
  <c r="I86" i="6"/>
  <c r="O86" i="6" s="1"/>
  <c r="I78" i="6"/>
  <c r="O78" i="6" s="1"/>
  <c r="I70" i="6"/>
  <c r="O70" i="6" s="1"/>
  <c r="I62" i="6"/>
  <c r="O62" i="6" s="1"/>
  <c r="I54" i="6"/>
  <c r="O54" i="6" s="1"/>
  <c r="I46" i="6"/>
  <c r="O46" i="6" s="1"/>
  <c r="I38" i="6"/>
  <c r="O38" i="6" s="1"/>
  <c r="I30" i="6"/>
  <c r="O30" i="6" s="1"/>
  <c r="I22" i="6"/>
  <c r="O22" i="6" s="1"/>
  <c r="I14" i="6"/>
  <c r="O14" i="6" s="1"/>
  <c r="I6" i="6"/>
  <c r="M6" i="6" s="1"/>
  <c r="I144" i="6"/>
  <c r="O144" i="6" s="1"/>
  <c r="I72" i="6"/>
  <c r="O72" i="6" s="1"/>
  <c r="I48" i="6"/>
  <c r="O48" i="6" s="1"/>
  <c r="I24" i="6"/>
  <c r="O24" i="6" s="1"/>
  <c r="O20" i="2"/>
  <c r="F3" i="3" a="1"/>
  <c r="F3" i="3" s="1"/>
  <c r="F2" i="3" a="1"/>
  <c r="F2" i="3" s="1"/>
  <c r="F6" i="3" a="1"/>
  <c r="F6" i="3" s="1"/>
  <c r="F5" i="3" a="1"/>
  <c r="F5" i="3" s="1"/>
  <c r="O5" i="2"/>
  <c r="O12" i="2"/>
  <c r="O6" i="2"/>
  <c r="O10" i="2"/>
  <c r="O11" i="2"/>
  <c r="O4" i="2"/>
  <c r="O3" i="2"/>
  <c r="O9" i="2"/>
  <c r="O2" i="2"/>
  <c r="T3" i="6" l="1"/>
  <c r="G6" i="3" a="1"/>
  <c r="G6" i="3" s="1"/>
  <c r="G5" i="3" a="1"/>
  <c r="G5" i="3" s="1"/>
  <c r="C14" i="5" a="1"/>
  <c r="C14" i="5" s="1"/>
  <c r="C22" i="5" a="1"/>
  <c r="C22" i="5" s="1"/>
  <c r="C30" i="5" a="1"/>
  <c r="C30" i="5" s="1"/>
  <c r="C38" i="5" a="1"/>
  <c r="C38" i="5" s="1"/>
  <c r="C46" i="5" a="1"/>
  <c r="C46" i="5" s="1"/>
  <c r="C54" i="5" a="1"/>
  <c r="C54" i="5" s="1"/>
  <c r="C62" i="5" a="1"/>
  <c r="C62" i="5" s="1"/>
  <c r="C70" i="5" a="1"/>
  <c r="C70" i="5" s="1"/>
  <c r="C9" i="5" a="1"/>
  <c r="C9" i="5" s="1"/>
  <c r="C15" i="5" a="1"/>
  <c r="C15" i="5" s="1"/>
  <c r="C23" i="5" a="1"/>
  <c r="C23" i="5" s="1"/>
  <c r="C31" i="5" a="1"/>
  <c r="C31" i="5" s="1"/>
  <c r="C39" i="5" a="1"/>
  <c r="C39" i="5" s="1"/>
  <c r="C47" i="5" a="1"/>
  <c r="C47" i="5" s="1"/>
  <c r="C55" i="5" a="1"/>
  <c r="C55" i="5" s="1"/>
  <c r="C63" i="5" a="1"/>
  <c r="C63" i="5" s="1"/>
  <c r="C71" i="5" a="1"/>
  <c r="C71" i="5" s="1"/>
  <c r="C2" i="5" a="1"/>
  <c r="C2" i="5" s="1"/>
  <c r="C16" i="5" a="1"/>
  <c r="C16" i="5" s="1"/>
  <c r="C24" i="5" a="1"/>
  <c r="C24" i="5" s="1"/>
  <c r="C32" i="5" a="1"/>
  <c r="C32" i="5" s="1"/>
  <c r="C40" i="5" a="1"/>
  <c r="C40" i="5" s="1"/>
  <c r="C48" i="5" a="1"/>
  <c r="C48" i="5" s="1"/>
  <c r="C56" i="5" a="1"/>
  <c r="C56" i="5" s="1"/>
  <c r="C64" i="5" a="1"/>
  <c r="C64" i="5" s="1"/>
  <c r="C3" i="5" a="1"/>
  <c r="C3" i="5" s="1"/>
  <c r="C17" i="5" a="1"/>
  <c r="C17" i="5" s="1"/>
  <c r="C25" i="5" a="1"/>
  <c r="C25" i="5" s="1"/>
  <c r="C33" i="5" a="1"/>
  <c r="C33" i="5" s="1"/>
  <c r="C41" i="5" a="1"/>
  <c r="C41" i="5" s="1"/>
  <c r="C49" i="5" a="1"/>
  <c r="C49" i="5" s="1"/>
  <c r="C57" i="5" a="1"/>
  <c r="C57" i="5" s="1"/>
  <c r="C65" i="5" a="1"/>
  <c r="C65" i="5" s="1"/>
  <c r="C4" i="5" a="1"/>
  <c r="C4" i="5" s="1"/>
  <c r="C10" i="5" a="1"/>
  <c r="C10" i="5" s="1"/>
  <c r="C18" i="5" a="1"/>
  <c r="C18" i="5" s="1"/>
  <c r="C26" i="5" a="1"/>
  <c r="C26" i="5" s="1"/>
  <c r="C34" i="5" a="1"/>
  <c r="C34" i="5" s="1"/>
  <c r="C42" i="5" a="1"/>
  <c r="C42" i="5" s="1"/>
  <c r="C50" i="5" a="1"/>
  <c r="C50" i="5" s="1"/>
  <c r="C58" i="5" a="1"/>
  <c r="C58" i="5" s="1"/>
  <c r="C66" i="5" a="1"/>
  <c r="C66" i="5" s="1"/>
  <c r="C5" i="5" a="1"/>
  <c r="C5" i="5" s="1"/>
  <c r="C11" i="5" a="1"/>
  <c r="C11" i="5" s="1"/>
  <c r="C19" i="5" a="1"/>
  <c r="C19" i="5" s="1"/>
  <c r="C27" i="5" a="1"/>
  <c r="C27" i="5" s="1"/>
  <c r="C35" i="5" a="1"/>
  <c r="C35" i="5" s="1"/>
  <c r="C43" i="5" a="1"/>
  <c r="C43" i="5" s="1"/>
  <c r="C51" i="5" a="1"/>
  <c r="C51" i="5" s="1"/>
  <c r="C59" i="5" a="1"/>
  <c r="C59" i="5" s="1"/>
  <c r="C67" i="5" a="1"/>
  <c r="C67" i="5" s="1"/>
  <c r="C6" i="5" a="1"/>
  <c r="C6" i="5" s="1"/>
  <c r="C12" i="5" a="1"/>
  <c r="C12" i="5" s="1"/>
  <c r="C20" i="5" a="1"/>
  <c r="C20" i="5" s="1"/>
  <c r="C28" i="5" a="1"/>
  <c r="C28" i="5" s="1"/>
  <c r="C36" i="5" a="1"/>
  <c r="C36" i="5" s="1"/>
  <c r="C44" i="5" a="1"/>
  <c r="C44" i="5" s="1"/>
  <c r="C52" i="5" a="1"/>
  <c r="C52" i="5" s="1"/>
  <c r="C60" i="5" a="1"/>
  <c r="C60" i="5" s="1"/>
  <c r="C68" i="5" a="1"/>
  <c r="C68" i="5" s="1"/>
  <c r="C7" i="5" a="1"/>
  <c r="C7" i="5" s="1"/>
  <c r="C13" i="5" a="1"/>
  <c r="C13" i="5" s="1"/>
  <c r="C21" i="5" a="1"/>
  <c r="C21" i="5" s="1"/>
  <c r="C29" i="5" a="1"/>
  <c r="C29" i="5" s="1"/>
  <c r="C37" i="5" a="1"/>
  <c r="C37" i="5" s="1"/>
  <c r="C45" i="5" a="1"/>
  <c r="C45" i="5" s="1"/>
  <c r="C53" i="5" a="1"/>
  <c r="C53" i="5" s="1"/>
  <c r="C61" i="5" a="1"/>
  <c r="C61" i="5" s="1"/>
  <c r="C69" i="5" a="1"/>
  <c r="C69" i="5" s="1"/>
  <c r="C8" i="5" a="1"/>
  <c r="C8" i="5" s="1"/>
  <c r="G3" i="3" a="1"/>
  <c r="G3" i="3" s="1"/>
  <c r="G2" i="3" a="1"/>
  <c r="G2" i="3" s="1"/>
  <c r="G4" i="3" a="1"/>
  <c r="G4" i="3" s="1"/>
  <c r="T44" i="6"/>
  <c r="N6" i="6"/>
  <c r="T24" i="6"/>
  <c r="T18" i="6"/>
  <c r="T170" i="6"/>
  <c r="T58" i="6"/>
  <c r="T124" i="6"/>
  <c r="T140" i="6"/>
  <c r="T198" i="6"/>
  <c r="T220" i="6"/>
  <c r="T142" i="6"/>
  <c r="T100" i="6"/>
  <c r="T216" i="6"/>
  <c r="T192" i="6"/>
  <c r="T86" i="6"/>
  <c r="T168" i="6"/>
  <c r="T98" i="6"/>
  <c r="T34" i="6"/>
  <c r="T162" i="6"/>
  <c r="T20" i="6"/>
  <c r="T84" i="6"/>
  <c r="T148" i="6"/>
  <c r="T212" i="6"/>
  <c r="T30" i="6"/>
  <c r="T31" i="6"/>
  <c r="T8" i="6"/>
  <c r="T72" i="6"/>
  <c r="T136" i="6"/>
  <c r="T200" i="6"/>
  <c r="T42" i="6"/>
  <c r="T106" i="6"/>
  <c r="T28" i="6"/>
  <c r="T92" i="6"/>
  <c r="T156" i="6"/>
  <c r="T38" i="6"/>
  <c r="T102" i="6"/>
  <c r="T166" i="6"/>
  <c r="T80" i="6"/>
  <c r="T144" i="6"/>
  <c r="T208" i="6"/>
  <c r="T112" i="6"/>
  <c r="T180" i="6"/>
  <c r="T32" i="6"/>
  <c r="T128" i="6"/>
  <c r="T186" i="6"/>
  <c r="T50" i="6"/>
  <c r="T130" i="6"/>
  <c r="T14" i="6"/>
  <c r="T78" i="6"/>
  <c r="T154" i="6"/>
  <c r="T23" i="6"/>
  <c r="T87" i="6"/>
  <c r="T151" i="6"/>
  <c r="T215" i="6"/>
  <c r="T41" i="6"/>
  <c r="T105" i="6"/>
  <c r="T169" i="6"/>
  <c r="T59" i="6"/>
  <c r="T123" i="6"/>
  <c r="T187" i="6"/>
  <c r="T45" i="6"/>
  <c r="T109" i="6"/>
  <c r="T173" i="6"/>
  <c r="T95" i="6"/>
  <c r="T159" i="6"/>
  <c r="T49" i="6"/>
  <c r="T113" i="6"/>
  <c r="T177" i="6"/>
  <c r="T67" i="6"/>
  <c r="T131" i="6"/>
  <c r="T195" i="6"/>
  <c r="T53" i="6"/>
  <c r="T117" i="6"/>
  <c r="T181" i="6"/>
  <c r="T36" i="6"/>
  <c r="T12" i="6"/>
  <c r="T204" i="6"/>
  <c r="T152" i="6"/>
  <c r="T210" i="6"/>
  <c r="T158" i="6"/>
  <c r="T94" i="6"/>
  <c r="T182" i="6"/>
  <c r="T103" i="6"/>
  <c r="T167" i="6"/>
  <c r="T57" i="6"/>
  <c r="T185" i="6"/>
  <c r="T11" i="6"/>
  <c r="T75" i="6"/>
  <c r="T139" i="6"/>
  <c r="T203" i="6"/>
  <c r="T61" i="6"/>
  <c r="T125" i="6"/>
  <c r="T189" i="6"/>
  <c r="T132" i="6"/>
  <c r="T108" i="6"/>
  <c r="T56" i="6"/>
  <c r="T114" i="6"/>
  <c r="T66" i="6"/>
  <c r="T26" i="6"/>
  <c r="T39" i="6"/>
  <c r="T121" i="6"/>
  <c r="T48" i="6"/>
  <c r="T120" i="6"/>
  <c r="T68" i="6"/>
  <c r="T164" i="6"/>
  <c r="T126" i="6"/>
  <c r="T218" i="6"/>
  <c r="T74" i="6"/>
  <c r="T194" i="6"/>
  <c r="T47" i="6"/>
  <c r="T111" i="6"/>
  <c r="T175" i="6"/>
  <c r="T65" i="6"/>
  <c r="T129" i="6"/>
  <c r="T193" i="6"/>
  <c r="T19" i="6"/>
  <c r="T83" i="6"/>
  <c r="T147" i="6"/>
  <c r="T211" i="6"/>
  <c r="T5" i="6"/>
  <c r="T69" i="6"/>
  <c r="T133" i="6"/>
  <c r="T197" i="6"/>
  <c r="T64" i="6"/>
  <c r="T160" i="6"/>
  <c r="T40" i="6"/>
  <c r="T4" i="6"/>
  <c r="T176" i="6"/>
  <c r="T138" i="6"/>
  <c r="T10" i="6"/>
  <c r="T82" i="6"/>
  <c r="T178" i="6"/>
  <c r="T46" i="6"/>
  <c r="T110" i="6"/>
  <c r="T202" i="6"/>
  <c r="T55" i="6"/>
  <c r="T119" i="6"/>
  <c r="T183" i="6"/>
  <c r="T9" i="6"/>
  <c r="T73" i="6"/>
  <c r="T137" i="6"/>
  <c r="T201" i="6"/>
  <c r="T27" i="6"/>
  <c r="T91" i="6"/>
  <c r="T155" i="6"/>
  <c r="T219" i="6"/>
  <c r="T13" i="6"/>
  <c r="T77" i="6"/>
  <c r="T141" i="6"/>
  <c r="T205" i="6"/>
  <c r="T76" i="6"/>
  <c r="T172" i="6"/>
  <c r="T52" i="6"/>
  <c r="T188" i="6"/>
  <c r="T150" i="6"/>
  <c r="T22" i="6"/>
  <c r="T90" i="6"/>
  <c r="T190" i="6"/>
  <c r="T54" i="6"/>
  <c r="T122" i="6"/>
  <c r="T214" i="6"/>
  <c r="T63" i="6"/>
  <c r="T127" i="6"/>
  <c r="T191" i="6"/>
  <c r="T17" i="6"/>
  <c r="T81" i="6"/>
  <c r="T145" i="6"/>
  <c r="T209" i="6"/>
  <c r="T35" i="6"/>
  <c r="T99" i="6"/>
  <c r="T163" i="6"/>
  <c r="T21" i="6"/>
  <c r="T85" i="6"/>
  <c r="T149" i="6"/>
  <c r="T213" i="6"/>
  <c r="T88" i="6"/>
  <c r="T184" i="6"/>
  <c r="T60" i="6"/>
  <c r="T104" i="6"/>
  <c r="T206" i="6"/>
  <c r="T62" i="6"/>
  <c r="T134" i="6"/>
  <c r="T7" i="6"/>
  <c r="T71" i="6"/>
  <c r="T135" i="6"/>
  <c r="T199" i="6"/>
  <c r="T25" i="6"/>
  <c r="T89" i="6"/>
  <c r="T153" i="6"/>
  <c r="T217" i="6"/>
  <c r="T43" i="6"/>
  <c r="T107" i="6"/>
  <c r="T171" i="6"/>
  <c r="T29" i="6"/>
  <c r="T93" i="6"/>
  <c r="T157" i="6"/>
  <c r="T96" i="6"/>
  <c r="T196" i="6"/>
  <c r="T116" i="6"/>
  <c r="T174" i="6"/>
  <c r="T118" i="6"/>
  <c r="T6" i="6"/>
  <c r="T70" i="6"/>
  <c r="T146" i="6"/>
  <c r="T15" i="6"/>
  <c r="T79" i="6"/>
  <c r="T143" i="6"/>
  <c r="T207" i="6"/>
  <c r="T33" i="6"/>
  <c r="T97" i="6"/>
  <c r="T161" i="6"/>
  <c r="T51" i="6"/>
  <c r="T115" i="6"/>
  <c r="T179" i="6"/>
  <c r="T16" i="6"/>
  <c r="T37" i="6"/>
  <c r="T101" i="6"/>
  <c r="T165" i="6"/>
  <c r="P5" i="6"/>
  <c r="P4" i="6"/>
  <c r="P3" i="6"/>
  <c r="O6" i="6"/>
  <c r="P150" i="6" s="1"/>
  <c r="N7" i="6"/>
  <c r="K14" i="6"/>
  <c r="M14" i="6"/>
  <c r="N14" i="6" s="1"/>
  <c r="K78" i="6"/>
  <c r="M78" i="6"/>
  <c r="K142" i="6"/>
  <c r="M142" i="6"/>
  <c r="K206" i="6"/>
  <c r="M206" i="6"/>
  <c r="N4" i="6"/>
  <c r="N15" i="6"/>
  <c r="K22" i="6"/>
  <c r="M22" i="6"/>
  <c r="K86" i="6"/>
  <c r="M86" i="6"/>
  <c r="K150" i="6"/>
  <c r="M150" i="6"/>
  <c r="K214" i="6"/>
  <c r="M214" i="6"/>
  <c r="N9" i="6"/>
  <c r="N12" i="6"/>
  <c r="K30" i="6"/>
  <c r="M30" i="6"/>
  <c r="K94" i="6"/>
  <c r="M94" i="6"/>
  <c r="K158" i="6"/>
  <c r="M158" i="6"/>
  <c r="K24" i="6"/>
  <c r="M24" i="6"/>
  <c r="K38" i="6"/>
  <c r="M38" i="6"/>
  <c r="K102" i="6"/>
  <c r="M102" i="6"/>
  <c r="K166" i="6"/>
  <c r="M166" i="6"/>
  <c r="N8" i="6"/>
  <c r="N10" i="6"/>
  <c r="N5" i="6"/>
  <c r="K48" i="6"/>
  <c r="M48" i="6"/>
  <c r="K46" i="6"/>
  <c r="M46" i="6"/>
  <c r="K110" i="6"/>
  <c r="M110" i="6"/>
  <c r="K174" i="6"/>
  <c r="M174" i="6"/>
  <c r="N13" i="6"/>
  <c r="K70" i="6"/>
  <c r="M70" i="6"/>
  <c r="K134" i="6"/>
  <c r="M134" i="6"/>
  <c r="K198" i="6"/>
  <c r="M198" i="6"/>
  <c r="K72" i="6"/>
  <c r="M72" i="6"/>
  <c r="K54" i="6"/>
  <c r="M54" i="6"/>
  <c r="K118" i="6"/>
  <c r="M118" i="6"/>
  <c r="K182" i="6"/>
  <c r="M182" i="6"/>
  <c r="N3" i="6"/>
  <c r="K144" i="6"/>
  <c r="M144" i="6"/>
  <c r="K62" i="6"/>
  <c r="M62" i="6"/>
  <c r="K126" i="6"/>
  <c r="M126" i="6"/>
  <c r="K190" i="6"/>
  <c r="M190" i="6"/>
  <c r="N11" i="6"/>
  <c r="F8" i="3"/>
  <c r="J217" i="6"/>
  <c r="J218" i="6"/>
  <c r="J220" i="6"/>
  <c r="J219" i="6"/>
  <c r="J215" i="6"/>
  <c r="J216" i="6"/>
  <c r="J6" i="6"/>
  <c r="K6" i="6"/>
  <c r="Q6" i="3" a="1"/>
  <c r="Q6" i="3" s="1"/>
  <c r="J14" i="6"/>
  <c r="J30" i="6"/>
  <c r="J24" i="6"/>
  <c r="J144" i="6"/>
  <c r="J62" i="6"/>
  <c r="J126" i="6"/>
  <c r="J190" i="6"/>
  <c r="J66" i="6"/>
  <c r="J140" i="6"/>
  <c r="J191" i="6"/>
  <c r="J33" i="6"/>
  <c r="J128" i="6"/>
  <c r="J129" i="6"/>
  <c r="J208" i="6"/>
  <c r="J13" i="6"/>
  <c r="J173" i="6"/>
  <c r="J132" i="6"/>
  <c r="J103" i="6"/>
  <c r="J136" i="6"/>
  <c r="J106" i="6"/>
  <c r="J36" i="6"/>
  <c r="J179" i="6"/>
  <c r="J115" i="6"/>
  <c r="J43" i="6"/>
  <c r="J42" i="6"/>
  <c r="J117" i="6"/>
  <c r="J16" i="6"/>
  <c r="J29" i="6"/>
  <c r="J84" i="6"/>
  <c r="J70" i="6"/>
  <c r="J134" i="6"/>
  <c r="J198" i="6"/>
  <c r="J87" i="6"/>
  <c r="J146" i="6"/>
  <c r="J197" i="6"/>
  <c r="J40" i="6"/>
  <c r="J153" i="6"/>
  <c r="J141" i="6"/>
  <c r="J37" i="6"/>
  <c r="J26" i="6"/>
  <c r="J193" i="6"/>
  <c r="J183" i="6"/>
  <c r="J116" i="6"/>
  <c r="J149" i="6"/>
  <c r="J189" i="6"/>
  <c r="J28" i="6"/>
  <c r="J171" i="6"/>
  <c r="J107" i="6"/>
  <c r="J35" i="6"/>
  <c r="J56" i="6"/>
  <c r="J124" i="6"/>
  <c r="J85" i="6"/>
  <c r="J50" i="6"/>
  <c r="J77" i="6"/>
  <c r="J48" i="6"/>
  <c r="J46" i="6"/>
  <c r="J110" i="6"/>
  <c r="J174" i="6"/>
  <c r="J78" i="6"/>
  <c r="J142" i="6"/>
  <c r="J206" i="6"/>
  <c r="J101" i="6"/>
  <c r="J152" i="6"/>
  <c r="J204" i="6"/>
  <c r="J47" i="6"/>
  <c r="J160" i="6"/>
  <c r="J154" i="6"/>
  <c r="J138" i="6"/>
  <c r="J41" i="6"/>
  <c r="J188" i="6"/>
  <c r="J34" i="6"/>
  <c r="J135" i="6"/>
  <c r="J162" i="6"/>
  <c r="J52" i="6"/>
  <c r="J20" i="6"/>
  <c r="J163" i="6"/>
  <c r="J99" i="6"/>
  <c r="J27" i="6"/>
  <c r="J69" i="6"/>
  <c r="J130" i="6"/>
  <c r="J145" i="6"/>
  <c r="J57" i="6"/>
  <c r="J113" i="6"/>
  <c r="J22" i="6"/>
  <c r="J86" i="6"/>
  <c r="J150" i="6"/>
  <c r="J214" i="6"/>
  <c r="J18" i="6"/>
  <c r="J108" i="6"/>
  <c r="J159" i="6"/>
  <c r="J210" i="6"/>
  <c r="J73" i="6"/>
  <c r="J185" i="6"/>
  <c r="J161" i="6"/>
  <c r="J177" i="6"/>
  <c r="J61" i="6"/>
  <c r="J201" i="6"/>
  <c r="J49" i="6"/>
  <c r="J148" i="6"/>
  <c r="J168" i="6"/>
  <c r="J93" i="6"/>
  <c r="J155" i="6"/>
  <c r="J91" i="6"/>
  <c r="J19" i="6"/>
  <c r="J76" i="6"/>
  <c r="J143" i="6"/>
  <c r="J202" i="6"/>
  <c r="J63" i="6"/>
  <c r="J157" i="6"/>
  <c r="J25" i="6"/>
  <c r="J114" i="6"/>
  <c r="J165" i="6"/>
  <c r="J79" i="6"/>
  <c r="J192" i="6"/>
  <c r="J186" i="6"/>
  <c r="J10" i="6"/>
  <c r="J68" i="6"/>
  <c r="J58" i="6"/>
  <c r="J55" i="6"/>
  <c r="J167" i="6"/>
  <c r="J181" i="6"/>
  <c r="J211" i="6"/>
  <c r="J147" i="6"/>
  <c r="J83" i="6"/>
  <c r="J11" i="6"/>
  <c r="J82" i="6"/>
  <c r="J156" i="6"/>
  <c r="J45" i="6"/>
  <c r="J98" i="6"/>
  <c r="J209" i="6"/>
  <c r="J38" i="6"/>
  <c r="J102" i="6"/>
  <c r="J166" i="6"/>
  <c r="J32" i="6"/>
  <c r="J120" i="6"/>
  <c r="J172" i="6"/>
  <c r="J100" i="6"/>
  <c r="J88" i="6"/>
  <c r="J80" i="6"/>
  <c r="J205" i="6"/>
  <c r="J65" i="6"/>
  <c r="J74" i="6"/>
  <c r="J125" i="6"/>
  <c r="J75" i="6"/>
  <c r="J180" i="6"/>
  <c r="J207" i="6"/>
  <c r="J92" i="6"/>
  <c r="J203" i="6"/>
  <c r="J139" i="6"/>
  <c r="J67" i="6"/>
  <c r="J64" i="6"/>
  <c r="J90" i="6"/>
  <c r="J175" i="6"/>
  <c r="J196" i="6"/>
  <c r="J105" i="6"/>
  <c r="J17" i="6"/>
  <c r="J39" i="6"/>
  <c r="J127" i="6"/>
  <c r="J178" i="6"/>
  <c r="J164" i="6"/>
  <c r="J95" i="6"/>
  <c r="J96" i="6"/>
  <c r="J194" i="6"/>
  <c r="J119" i="6"/>
  <c r="J89" i="6"/>
  <c r="J170" i="6"/>
  <c r="J81" i="6"/>
  <c r="J199" i="6"/>
  <c r="J176" i="6"/>
  <c r="J60" i="6"/>
  <c r="J195" i="6"/>
  <c r="J131" i="6"/>
  <c r="J59" i="6"/>
  <c r="J8" i="6"/>
  <c r="J104" i="6"/>
  <c r="J200" i="6"/>
  <c r="J9" i="6"/>
  <c r="J112" i="6"/>
  <c r="J71" i="6"/>
  <c r="J94" i="6"/>
  <c r="J158" i="6"/>
  <c r="J72" i="6"/>
  <c r="J54" i="6"/>
  <c r="J118" i="6"/>
  <c r="J182" i="6"/>
  <c r="J53" i="6"/>
  <c r="J133" i="6"/>
  <c r="J184" i="6"/>
  <c r="J12" i="6"/>
  <c r="J121" i="6"/>
  <c r="J109" i="6"/>
  <c r="J213" i="6"/>
  <c r="J7" i="6"/>
  <c r="J122" i="6"/>
  <c r="J31" i="6"/>
  <c r="J97" i="6"/>
  <c r="J212" i="6"/>
  <c r="J23" i="6"/>
  <c r="J44" i="6"/>
  <c r="J187" i="6"/>
  <c r="J123" i="6"/>
  <c r="J51" i="6"/>
  <c r="J21" i="6"/>
  <c r="J111" i="6"/>
  <c r="J169" i="6"/>
  <c r="J15" i="6"/>
  <c r="J137" i="6"/>
  <c r="J151" i="6"/>
  <c r="Q2" i="3" a="1"/>
  <c r="Q2" i="3" s="1"/>
  <c r="Q4" i="3" a="1"/>
  <c r="Q4" i="3" s="1"/>
  <c r="Q5" i="3" a="1"/>
  <c r="Q5" i="3" s="1"/>
  <c r="Q3" i="3" a="1"/>
  <c r="Q3" i="3" s="1"/>
  <c r="E20" i="2" l="1" a="1"/>
  <c r="E20" i="2" s="1"/>
  <c r="E9" i="2" a="1"/>
  <c r="E9" i="2" s="1"/>
  <c r="E19" i="2" a="1"/>
  <c r="E19" i="2" s="1"/>
  <c r="E6" i="2" a="1"/>
  <c r="E6" i="2" s="1"/>
  <c r="E13" i="2" a="1"/>
  <c r="E13" i="2" s="1"/>
  <c r="E17" i="2" a="1"/>
  <c r="E17" i="2" s="1"/>
  <c r="E21" i="2" a="1"/>
  <c r="E21" i="2" s="1"/>
  <c r="E11" i="2" a="1"/>
  <c r="E11" i="2" s="1"/>
  <c r="E15" i="2" a="1"/>
  <c r="E15" i="2" s="1"/>
  <c r="E12" i="2" a="1"/>
  <c r="E12" i="2" s="1"/>
  <c r="E3" i="2" a="1"/>
  <c r="E3" i="2" s="1"/>
  <c r="E7" i="2" a="1"/>
  <c r="E7" i="2" s="1"/>
  <c r="E16" i="2" a="1"/>
  <c r="E16" i="2" s="1"/>
  <c r="E8" i="2" a="1"/>
  <c r="E8" i="2" s="1"/>
  <c r="E5" i="2" a="1"/>
  <c r="E5" i="2" s="1"/>
  <c r="E14" i="2" a="1"/>
  <c r="E14" i="2" s="1"/>
  <c r="E18" i="2" a="1"/>
  <c r="E18" i="2" s="1"/>
  <c r="E10" i="2" a="1"/>
  <c r="E10" i="2" s="1"/>
  <c r="E4" i="2" a="1"/>
  <c r="E4" i="2" s="1"/>
  <c r="E2" i="2" a="1"/>
  <c r="E2" i="2" s="1"/>
  <c r="N18" i="6"/>
  <c r="P88" i="6"/>
  <c r="P198" i="6"/>
  <c r="P56" i="6"/>
  <c r="N157" i="6"/>
  <c r="P113" i="6"/>
  <c r="P49" i="6"/>
  <c r="P152" i="6"/>
  <c r="P127" i="6"/>
  <c r="N155" i="6"/>
  <c r="P46" i="6"/>
  <c r="P24" i="6"/>
  <c r="P169" i="6"/>
  <c r="P134" i="6"/>
  <c r="P30" i="6"/>
  <c r="P62" i="6"/>
  <c r="P103" i="6"/>
  <c r="N16" i="6"/>
  <c r="P78" i="6"/>
  <c r="P182" i="6"/>
  <c r="P214" i="6"/>
  <c r="N184" i="6"/>
  <c r="N137" i="6"/>
  <c r="P14" i="6"/>
  <c r="P63" i="6"/>
  <c r="P126" i="6"/>
  <c r="P38" i="6"/>
  <c r="P174" i="6"/>
  <c r="P167" i="6"/>
  <c r="N28" i="6"/>
  <c r="P70" i="6"/>
  <c r="P120" i="6"/>
  <c r="P72" i="6"/>
  <c r="P199" i="6"/>
  <c r="P184" i="6"/>
  <c r="N21" i="6"/>
  <c r="N138" i="6"/>
  <c r="N20" i="6"/>
  <c r="N35" i="6"/>
  <c r="N22" i="6"/>
  <c r="P121" i="6"/>
  <c r="P192" i="6"/>
  <c r="P128" i="6"/>
  <c r="P64" i="6"/>
  <c r="P189" i="6"/>
  <c r="P125" i="6"/>
  <c r="P61" i="6"/>
  <c r="P47" i="6"/>
  <c r="P220" i="6"/>
  <c r="P156" i="6"/>
  <c r="P92" i="6"/>
  <c r="P28" i="6"/>
  <c r="P203" i="6"/>
  <c r="P115" i="6"/>
  <c r="P51" i="6"/>
  <c r="P209" i="6"/>
  <c r="P163" i="6"/>
  <c r="P170" i="6"/>
  <c r="P106" i="6"/>
  <c r="P42" i="6"/>
  <c r="P73" i="6"/>
  <c r="P79" i="6"/>
  <c r="P7" i="6"/>
  <c r="P185" i="6"/>
  <c r="P183" i="6"/>
  <c r="P119" i="6"/>
  <c r="P181" i="6"/>
  <c r="P117" i="6"/>
  <c r="P53" i="6"/>
  <c r="P217" i="6"/>
  <c r="P212" i="6"/>
  <c r="P148" i="6"/>
  <c r="P84" i="6"/>
  <c r="P20" i="6"/>
  <c r="P187" i="6"/>
  <c r="P107" i="6"/>
  <c r="P43" i="6"/>
  <c r="P8" i="6"/>
  <c r="P162" i="6"/>
  <c r="P98" i="6"/>
  <c r="P34" i="6"/>
  <c r="P65" i="6"/>
  <c r="P15" i="6"/>
  <c r="P89" i="6"/>
  <c r="P105" i="6"/>
  <c r="P176" i="6"/>
  <c r="P112" i="6"/>
  <c r="P161" i="6"/>
  <c r="P175" i="6"/>
  <c r="P55" i="6"/>
  <c r="P173" i="6"/>
  <c r="P109" i="6"/>
  <c r="P45" i="6"/>
  <c r="P204" i="6"/>
  <c r="P140" i="6"/>
  <c r="P76" i="6"/>
  <c r="P12" i="6"/>
  <c r="P171" i="6"/>
  <c r="P99" i="6"/>
  <c r="P35" i="6"/>
  <c r="P218" i="6"/>
  <c r="P154" i="6"/>
  <c r="P90" i="6"/>
  <c r="P26" i="6"/>
  <c r="P57" i="6"/>
  <c r="P193" i="6"/>
  <c r="P97" i="6"/>
  <c r="P168" i="6"/>
  <c r="P104" i="6"/>
  <c r="P40" i="6"/>
  <c r="P201" i="6"/>
  <c r="P165" i="6"/>
  <c r="P101" i="6"/>
  <c r="P37" i="6"/>
  <c r="P196" i="6"/>
  <c r="P132" i="6"/>
  <c r="P68" i="6"/>
  <c r="P155" i="6"/>
  <c r="P91" i="6"/>
  <c r="P27" i="6"/>
  <c r="P210" i="6"/>
  <c r="P146" i="6"/>
  <c r="P82" i="6"/>
  <c r="P18" i="6"/>
  <c r="P157" i="6"/>
  <c r="P93" i="6"/>
  <c r="P29" i="6"/>
  <c r="P188" i="6"/>
  <c r="P124" i="6"/>
  <c r="P60" i="6"/>
  <c r="P39" i="6"/>
  <c r="P147" i="6"/>
  <c r="P83" i="6"/>
  <c r="P19" i="6"/>
  <c r="P202" i="6"/>
  <c r="P138" i="6"/>
  <c r="P74" i="6"/>
  <c r="P10" i="6"/>
  <c r="P41" i="6"/>
  <c r="P6" i="6"/>
  <c r="P159" i="6"/>
  <c r="P153" i="6"/>
  <c r="P216" i="6"/>
  <c r="P215" i="6"/>
  <c r="P151" i="6"/>
  <c r="P213" i="6"/>
  <c r="P149" i="6"/>
  <c r="P85" i="6"/>
  <c r="P21" i="6"/>
  <c r="P180" i="6"/>
  <c r="P116" i="6"/>
  <c r="P52" i="6"/>
  <c r="P177" i="6"/>
  <c r="P139" i="6"/>
  <c r="P75" i="6"/>
  <c r="P11" i="6"/>
  <c r="P211" i="6"/>
  <c r="P194" i="6"/>
  <c r="P130" i="6"/>
  <c r="P66" i="6"/>
  <c r="P87" i="6"/>
  <c r="P33" i="6"/>
  <c r="P137" i="6"/>
  <c r="P208" i="6"/>
  <c r="P80" i="6"/>
  <c r="P16" i="6"/>
  <c r="P207" i="6"/>
  <c r="P143" i="6"/>
  <c r="P205" i="6"/>
  <c r="P141" i="6"/>
  <c r="P77" i="6"/>
  <c r="P13" i="6"/>
  <c r="P172" i="6"/>
  <c r="P108" i="6"/>
  <c r="P44" i="6"/>
  <c r="P131" i="6"/>
  <c r="P67" i="6"/>
  <c r="P95" i="6"/>
  <c r="P195" i="6"/>
  <c r="P186" i="6"/>
  <c r="P122" i="6"/>
  <c r="P58" i="6"/>
  <c r="P23" i="6"/>
  <c r="P25" i="6"/>
  <c r="P129" i="6"/>
  <c r="P200" i="6"/>
  <c r="P136" i="6"/>
  <c r="P9" i="6"/>
  <c r="P197" i="6"/>
  <c r="P133" i="6"/>
  <c r="P69" i="6"/>
  <c r="P111" i="6"/>
  <c r="P164" i="6"/>
  <c r="P100" i="6"/>
  <c r="P36" i="6"/>
  <c r="P219" i="6"/>
  <c r="P123" i="6"/>
  <c r="P59" i="6"/>
  <c r="P31" i="6"/>
  <c r="P179" i="6"/>
  <c r="P178" i="6"/>
  <c r="P114" i="6"/>
  <c r="P50" i="6"/>
  <c r="P81" i="6"/>
  <c r="P17" i="6"/>
  <c r="P96" i="6"/>
  <c r="P190" i="6"/>
  <c r="P166" i="6"/>
  <c r="P191" i="6"/>
  <c r="P135" i="6"/>
  <c r="P32" i="6"/>
  <c r="P86" i="6"/>
  <c r="N36" i="6"/>
  <c r="P206" i="6"/>
  <c r="P144" i="6"/>
  <c r="P145" i="6"/>
  <c r="P110" i="6"/>
  <c r="P71" i="6"/>
  <c r="P158" i="6"/>
  <c r="P22" i="6"/>
  <c r="P142" i="6"/>
  <c r="P54" i="6"/>
  <c r="P160" i="6"/>
  <c r="P48" i="6"/>
  <c r="P118" i="6"/>
  <c r="P94" i="6"/>
  <c r="P102" i="6"/>
  <c r="N78" i="6"/>
  <c r="N75" i="6"/>
  <c r="N146" i="6"/>
  <c r="N212" i="6"/>
  <c r="N192" i="6"/>
  <c r="N130" i="6"/>
  <c r="N87" i="6"/>
  <c r="N65" i="6"/>
  <c r="N149" i="6"/>
  <c r="N17" i="6"/>
  <c r="N158" i="6"/>
  <c r="N165" i="6"/>
  <c r="N67" i="6"/>
  <c r="N83" i="6"/>
  <c r="N200" i="6"/>
  <c r="L48" i="6"/>
  <c r="N180" i="6"/>
  <c r="N98" i="6"/>
  <c r="N190" i="6"/>
  <c r="N217" i="6"/>
  <c r="N172" i="6"/>
  <c r="N90" i="6"/>
  <c r="N182" i="6"/>
  <c r="N198" i="6"/>
  <c r="N111" i="6"/>
  <c r="N161" i="6"/>
  <c r="N110" i="6"/>
  <c r="N103" i="6"/>
  <c r="N153" i="6"/>
  <c r="N102" i="6"/>
  <c r="N95" i="6"/>
  <c r="N145" i="6"/>
  <c r="N117" i="6"/>
  <c r="N152" i="6"/>
  <c r="N45" i="6"/>
  <c r="N178" i="6"/>
  <c r="N64" i="6"/>
  <c r="N188" i="6"/>
  <c r="N106" i="6"/>
  <c r="N220" i="6"/>
  <c r="N116" i="6"/>
  <c r="N34" i="6"/>
  <c r="N183" i="6"/>
  <c r="N108" i="6"/>
  <c r="N26" i="6"/>
  <c r="N47" i="6"/>
  <c r="N187" i="6"/>
  <c r="N97" i="6"/>
  <c r="N39" i="6"/>
  <c r="N179" i="6"/>
  <c r="N89" i="6"/>
  <c r="N31" i="6"/>
  <c r="N171" i="6"/>
  <c r="N81" i="6"/>
  <c r="N30" i="6"/>
  <c r="N53" i="6"/>
  <c r="N186" i="6"/>
  <c r="N80" i="6"/>
  <c r="N196" i="6"/>
  <c r="N114" i="6"/>
  <c r="N206" i="6"/>
  <c r="N199" i="6"/>
  <c r="N124" i="6"/>
  <c r="N42" i="6"/>
  <c r="N191" i="6"/>
  <c r="N52" i="6"/>
  <c r="N177" i="6"/>
  <c r="N126" i="6"/>
  <c r="N119" i="6"/>
  <c r="N44" i="6"/>
  <c r="N169" i="6"/>
  <c r="N118" i="6"/>
  <c r="N134" i="6"/>
  <c r="N205" i="6"/>
  <c r="N123" i="6"/>
  <c r="N33" i="6"/>
  <c r="N46" i="6"/>
  <c r="N197" i="6"/>
  <c r="N115" i="6"/>
  <c r="N25" i="6"/>
  <c r="N38" i="6"/>
  <c r="N189" i="6"/>
  <c r="N107" i="6"/>
  <c r="N204" i="6"/>
  <c r="N122" i="6"/>
  <c r="N214" i="6"/>
  <c r="N207" i="6"/>
  <c r="N132" i="6"/>
  <c r="N50" i="6"/>
  <c r="N135" i="6"/>
  <c r="N60" i="6"/>
  <c r="N185" i="6"/>
  <c r="N127" i="6"/>
  <c r="N203" i="6"/>
  <c r="N113" i="6"/>
  <c r="N55" i="6"/>
  <c r="N195" i="6"/>
  <c r="N105" i="6"/>
  <c r="N141" i="6"/>
  <c r="N59" i="6"/>
  <c r="N176" i="6"/>
  <c r="N133" i="6"/>
  <c r="N51" i="6"/>
  <c r="N168" i="6"/>
  <c r="N125" i="6"/>
  <c r="N43" i="6"/>
  <c r="N160" i="6"/>
  <c r="N215" i="6"/>
  <c r="N140" i="6"/>
  <c r="N58" i="6"/>
  <c r="N143" i="6"/>
  <c r="N68" i="6"/>
  <c r="N193" i="6"/>
  <c r="N142" i="6"/>
  <c r="N71" i="6"/>
  <c r="N211" i="6"/>
  <c r="N121" i="6"/>
  <c r="N63" i="6"/>
  <c r="N139" i="6"/>
  <c r="N49" i="6"/>
  <c r="N62" i="6"/>
  <c r="N213" i="6"/>
  <c r="N131" i="6"/>
  <c r="N41" i="6"/>
  <c r="N54" i="6"/>
  <c r="N70" i="6"/>
  <c r="N77" i="6"/>
  <c r="N210" i="6"/>
  <c r="N104" i="6"/>
  <c r="N48" i="6"/>
  <c r="N69" i="6"/>
  <c r="N202" i="6"/>
  <c r="N96" i="6"/>
  <c r="N24" i="6"/>
  <c r="N61" i="6"/>
  <c r="N194" i="6"/>
  <c r="N88" i="6"/>
  <c r="N151" i="6"/>
  <c r="N76" i="6"/>
  <c r="N201" i="6"/>
  <c r="N150" i="6"/>
  <c r="N79" i="6"/>
  <c r="N129" i="6"/>
  <c r="N147" i="6"/>
  <c r="N57" i="6"/>
  <c r="N93" i="6"/>
  <c r="N120" i="6"/>
  <c r="N144" i="6"/>
  <c r="N85" i="6"/>
  <c r="N112" i="6"/>
  <c r="N72" i="6"/>
  <c r="N219" i="6"/>
  <c r="N164" i="6"/>
  <c r="N82" i="6"/>
  <c r="N174" i="6"/>
  <c r="N218" i="6"/>
  <c r="N156" i="6"/>
  <c r="N74" i="6"/>
  <c r="N166" i="6"/>
  <c r="N216" i="6"/>
  <c r="N148" i="6"/>
  <c r="N66" i="6"/>
  <c r="N23" i="6"/>
  <c r="N163" i="6"/>
  <c r="N73" i="6"/>
  <c r="N86" i="6"/>
  <c r="N173" i="6"/>
  <c r="N91" i="6"/>
  <c r="N208" i="6"/>
  <c r="N101" i="6"/>
  <c r="N19" i="6"/>
  <c r="N128" i="6"/>
  <c r="N29" i="6"/>
  <c r="N162" i="6"/>
  <c r="N40" i="6"/>
  <c r="N154" i="6"/>
  <c r="N32" i="6"/>
  <c r="N175" i="6"/>
  <c r="N100" i="6"/>
  <c r="N167" i="6"/>
  <c r="N92" i="6"/>
  <c r="N159" i="6"/>
  <c r="N84" i="6"/>
  <c r="N209" i="6"/>
  <c r="N94" i="6"/>
  <c r="N181" i="6"/>
  <c r="N99" i="6"/>
  <c r="N109" i="6"/>
  <c r="N27" i="6"/>
  <c r="N136" i="6"/>
  <c r="N37" i="6"/>
  <c r="N170" i="6"/>
  <c r="N56" i="6"/>
  <c r="K15" i="7" a="1"/>
  <c r="K15" i="7" s="1"/>
  <c r="K16" i="7" a="1"/>
  <c r="K16" i="7" s="1"/>
  <c r="K17" i="7" a="1"/>
  <c r="K17" i="7" s="1"/>
  <c r="B4" i="7" a="1"/>
  <c r="B4" i="7" s="1"/>
  <c r="C4" i="7" s="1"/>
  <c r="L126" i="6"/>
  <c r="L102" i="6"/>
  <c r="L206" i="6"/>
  <c r="L217" i="6"/>
  <c r="L72" i="6"/>
  <c r="L134" i="6"/>
  <c r="L198" i="6"/>
  <c r="L144" i="6"/>
  <c r="L86" i="6"/>
  <c r="L24" i="6"/>
  <c r="L215" i="6"/>
  <c r="L110" i="6"/>
  <c r="L219" i="6"/>
  <c r="L78" i="6"/>
  <c r="L182" i="6"/>
  <c r="L216" i="6"/>
  <c r="L70" i="6"/>
  <c r="L218" i="6"/>
  <c r="L220" i="6"/>
  <c r="L46" i="6"/>
  <c r="L214" i="6"/>
  <c r="L54" i="6"/>
  <c r="L118" i="6"/>
  <c r="L6" i="6"/>
  <c r="L107" i="6"/>
  <c r="L57" i="6"/>
  <c r="L96" i="6"/>
  <c r="L166" i="6"/>
  <c r="L11" i="6"/>
  <c r="L157" i="6"/>
  <c r="L85" i="6"/>
  <c r="L196" i="6"/>
  <c r="L133" i="6"/>
  <c r="L79" i="6"/>
  <c r="L36" i="6"/>
  <c r="L186" i="6"/>
  <c r="L88" i="6"/>
  <c r="L210" i="6"/>
  <c r="L201" i="6"/>
  <c r="L137" i="6"/>
  <c r="L45" i="6"/>
  <c r="L136" i="6"/>
  <c r="L71" i="6"/>
  <c r="L28" i="6"/>
  <c r="L160" i="6"/>
  <c r="L113" i="6"/>
  <c r="L147" i="6"/>
  <c r="L199" i="6"/>
  <c r="L171" i="6"/>
  <c r="L142" i="6"/>
  <c r="L172" i="6"/>
  <c r="L63" i="6"/>
  <c r="L138" i="6"/>
  <c r="L30" i="6"/>
  <c r="L120" i="6"/>
  <c r="L108" i="6"/>
  <c r="L55" i="6"/>
  <c r="L103" i="6"/>
  <c r="L179" i="6"/>
  <c r="L163" i="6"/>
  <c r="L59" i="6"/>
  <c r="L75" i="6"/>
  <c r="L158" i="6"/>
  <c r="L25" i="6"/>
  <c r="L213" i="6"/>
  <c r="L149" i="6"/>
  <c r="L69" i="6"/>
  <c r="L188" i="6"/>
  <c r="L116" i="6"/>
  <c r="L74" i="6"/>
  <c r="L31" i="6"/>
  <c r="L170" i="6"/>
  <c r="L83" i="6"/>
  <c r="L40" i="6"/>
  <c r="L194" i="6"/>
  <c r="L193" i="6"/>
  <c r="L131" i="6"/>
  <c r="L29" i="6"/>
  <c r="L119" i="6"/>
  <c r="L66" i="6"/>
  <c r="L23" i="6"/>
  <c r="L97" i="6"/>
  <c r="L207" i="6"/>
  <c r="L187" i="6"/>
  <c r="L155" i="6"/>
  <c r="L64" i="6"/>
  <c r="L38" i="6"/>
  <c r="L197" i="6"/>
  <c r="L37" i="6"/>
  <c r="L106" i="6"/>
  <c r="L20" i="6"/>
  <c r="L162" i="6"/>
  <c r="L177" i="6"/>
  <c r="L12" i="6"/>
  <c r="L65" i="6"/>
  <c r="L43" i="6"/>
  <c r="L129" i="6"/>
  <c r="L9" i="6"/>
  <c r="L205" i="6"/>
  <c r="L141" i="6"/>
  <c r="L53" i="6"/>
  <c r="L180" i="6"/>
  <c r="L111" i="6"/>
  <c r="L68" i="6"/>
  <c r="L26" i="6"/>
  <c r="L154" i="6"/>
  <c r="L35" i="6"/>
  <c r="L178" i="6"/>
  <c r="L185" i="6"/>
  <c r="L13" i="6"/>
  <c r="L114" i="6"/>
  <c r="L60" i="6"/>
  <c r="L18" i="6"/>
  <c r="L125" i="6"/>
  <c r="L81" i="6"/>
  <c r="L191" i="6"/>
  <c r="L175" i="6"/>
  <c r="L143" i="6"/>
  <c r="L80" i="6"/>
  <c r="L124" i="6"/>
  <c r="L105" i="6"/>
  <c r="L127" i="6"/>
  <c r="L32" i="6"/>
  <c r="L189" i="6"/>
  <c r="L128" i="6"/>
  <c r="L21" i="6"/>
  <c r="L164" i="6"/>
  <c r="L100" i="6"/>
  <c r="L58" i="6"/>
  <c r="L15" i="6"/>
  <c r="L115" i="6"/>
  <c r="L67" i="6"/>
  <c r="L146" i="6"/>
  <c r="L169" i="6"/>
  <c r="L109" i="6"/>
  <c r="L200" i="6"/>
  <c r="L98" i="6"/>
  <c r="L50" i="6"/>
  <c r="L7" i="6"/>
  <c r="L87" i="6"/>
  <c r="L49" i="6"/>
  <c r="L167" i="6"/>
  <c r="L151" i="6"/>
  <c r="L89" i="6"/>
  <c r="L41" i="6"/>
  <c r="L190" i="6"/>
  <c r="L112" i="6"/>
  <c r="L27" i="6"/>
  <c r="L181" i="6"/>
  <c r="L123" i="6"/>
  <c r="L156" i="6"/>
  <c r="L95" i="6"/>
  <c r="L52" i="6"/>
  <c r="L10" i="6"/>
  <c r="L62" i="6"/>
  <c r="L19" i="6"/>
  <c r="L121" i="6"/>
  <c r="L161" i="6"/>
  <c r="L93" i="6"/>
  <c r="L184" i="6"/>
  <c r="L92" i="6"/>
  <c r="L44" i="6"/>
  <c r="L208" i="6"/>
  <c r="L33" i="6"/>
  <c r="L159" i="6"/>
  <c r="L211" i="6"/>
  <c r="L122" i="6"/>
  <c r="L132" i="6"/>
  <c r="L91" i="6"/>
  <c r="L173" i="6"/>
  <c r="L117" i="6"/>
  <c r="L212" i="6"/>
  <c r="L148" i="6"/>
  <c r="L90" i="6"/>
  <c r="L47" i="6"/>
  <c r="L104" i="6"/>
  <c r="L56" i="6"/>
  <c r="L99" i="6"/>
  <c r="L153" i="6"/>
  <c r="L77" i="6"/>
  <c r="L168" i="6"/>
  <c r="L82" i="6"/>
  <c r="L39" i="6"/>
  <c r="L192" i="6"/>
  <c r="L135" i="6"/>
  <c r="L17" i="6"/>
  <c r="L139" i="6"/>
  <c r="L195" i="6"/>
  <c r="L73" i="6"/>
  <c r="L174" i="6"/>
  <c r="L16" i="6"/>
  <c r="L165" i="6"/>
  <c r="L101" i="6"/>
  <c r="L204" i="6"/>
  <c r="L140" i="6"/>
  <c r="L84" i="6"/>
  <c r="L42" i="6"/>
  <c r="L202" i="6"/>
  <c r="L94" i="6"/>
  <c r="L51" i="6"/>
  <c r="L8" i="6"/>
  <c r="L209" i="6"/>
  <c r="L145" i="6"/>
  <c r="L61" i="6"/>
  <c r="L152" i="6"/>
  <c r="L76" i="6"/>
  <c r="L34" i="6"/>
  <c r="L176" i="6"/>
  <c r="L130" i="6"/>
  <c r="L203" i="6"/>
  <c r="L183" i="6"/>
  <c r="L14" i="6"/>
  <c r="L150" i="6"/>
  <c r="L22" i="6"/>
  <c r="H6" i="3" l="1" a="1"/>
  <c r="H6" i="3" s="1"/>
  <c r="F9" i="2" a="1"/>
  <c r="F9" i="2" s="1"/>
  <c r="K11" i="2" a="1"/>
  <c r="K11" i="2" s="1"/>
  <c r="J6" i="2" a="1"/>
  <c r="J6" i="2" s="1"/>
  <c r="J10" i="2" a="1"/>
  <c r="J10" i="2" s="1"/>
  <c r="J19" i="2" a="1"/>
  <c r="J19" i="2" s="1"/>
  <c r="F3" i="2" a="1"/>
  <c r="F3" i="2" s="1"/>
  <c r="J21" i="2" a="1"/>
  <c r="J21" i="2" s="1"/>
  <c r="I4" i="2" a="1"/>
  <c r="I4" i="2" s="1"/>
  <c r="I19" i="2" a="1"/>
  <c r="I19" i="2" s="1"/>
  <c r="J18" i="2" a="1"/>
  <c r="J18" i="2" s="1"/>
  <c r="K13" i="2" a="1"/>
  <c r="K13" i="2" s="1"/>
  <c r="K4" i="2" a="1"/>
  <c r="K4" i="2" s="1"/>
  <c r="J15" i="2" a="1"/>
  <c r="J15" i="2" s="1"/>
  <c r="J5" i="2" a="1"/>
  <c r="J5" i="2" s="1"/>
  <c r="K16" i="2" a="1"/>
  <c r="K16" i="2" s="1"/>
  <c r="I16" i="2" a="1"/>
  <c r="I16" i="2" s="1"/>
  <c r="I6" i="2" a="1"/>
  <c r="I6" i="2" s="1"/>
  <c r="I8" i="2" a="1"/>
  <c r="I8" i="2" s="1"/>
  <c r="F17" i="2" a="1"/>
  <c r="F17" i="2" s="1"/>
  <c r="F18" i="2" a="1"/>
  <c r="F18" i="2" s="1"/>
  <c r="K6" i="2" a="1"/>
  <c r="K6" i="2" s="1"/>
  <c r="F21" i="2" a="1"/>
  <c r="F21" i="2" s="1"/>
  <c r="I13" i="2" a="1"/>
  <c r="I13" i="2" s="1"/>
  <c r="K18" i="2" a="1"/>
  <c r="K18" i="2" s="1"/>
  <c r="K21" i="2" a="1"/>
  <c r="K21" i="2" s="1"/>
  <c r="I10" i="2" a="1"/>
  <c r="I10" i="2" s="1"/>
  <c r="I15" i="2" a="1"/>
  <c r="I15" i="2" s="1"/>
  <c r="F5" i="2" a="1"/>
  <c r="F5" i="2" s="1"/>
  <c r="F7" i="2" a="1"/>
  <c r="F7" i="2" s="1"/>
  <c r="J8" i="2" a="1"/>
  <c r="J8" i="2" s="1"/>
  <c r="J12" i="2" a="1"/>
  <c r="J12" i="2" s="1"/>
  <c r="J7" i="2" a="1"/>
  <c r="J7" i="2" s="1"/>
  <c r="J17" i="2" a="1"/>
  <c r="J17" i="2" s="1"/>
  <c r="I21" i="2" a="1"/>
  <c r="I21" i="2" s="1"/>
  <c r="J4" i="2" a="1"/>
  <c r="J4" i="2" s="1"/>
  <c r="K2" i="2" a="1"/>
  <c r="K2" i="2" s="1"/>
  <c r="K15" i="2" a="1"/>
  <c r="K15" i="2" s="1"/>
  <c r="K7" i="2" a="1"/>
  <c r="K7" i="2" s="1"/>
  <c r="I3" i="2" a="1"/>
  <c r="I3" i="2" s="1"/>
  <c r="K17" i="2" a="1"/>
  <c r="K17" i="2" s="1"/>
  <c r="K14" i="2" a="1"/>
  <c r="K14" i="2" s="1"/>
  <c r="I12" i="2" a="1"/>
  <c r="I12" i="2" s="1"/>
  <c r="J16" i="2" a="1"/>
  <c r="J16" i="2" s="1"/>
  <c r="I5" i="2" a="1"/>
  <c r="I5" i="2" s="1"/>
  <c r="I20" i="2" a="1"/>
  <c r="I20" i="2" s="1"/>
  <c r="J20" i="2" a="1"/>
  <c r="J20" i="2" s="1"/>
  <c r="K5" i="3" a="1"/>
  <c r="K5" i="3" s="1"/>
  <c r="L3" i="3" a="1"/>
  <c r="L3" i="3" s="1"/>
  <c r="J4" i="3" a="1"/>
  <c r="J4" i="3" s="1"/>
  <c r="L4" i="3" a="1"/>
  <c r="L4" i="3" s="1"/>
  <c r="J2" i="3" a="1"/>
  <c r="J2" i="3" s="1"/>
  <c r="H3" i="3" a="1"/>
  <c r="H3" i="3" s="1"/>
  <c r="K6" i="3" a="1"/>
  <c r="K6" i="3" s="1"/>
  <c r="H4" i="3" a="1"/>
  <c r="H4" i="3" s="1"/>
  <c r="K2" i="3" a="1"/>
  <c r="K2" i="3" s="1"/>
  <c r="L6" i="3" a="1"/>
  <c r="L6" i="3" s="1"/>
  <c r="J6" i="3" a="1"/>
  <c r="J6" i="3" s="1"/>
  <c r="J3" i="3" a="1"/>
  <c r="J3" i="3" s="1"/>
  <c r="K3" i="3" a="1"/>
  <c r="K3" i="3" s="1"/>
  <c r="K4" i="3" a="1"/>
  <c r="K4" i="3" s="1"/>
  <c r="H2" i="3" a="1"/>
  <c r="H2" i="3" s="1"/>
  <c r="L2" i="3" a="1"/>
  <c r="L2" i="3" s="1"/>
  <c r="L5" i="3" a="1"/>
  <c r="L5" i="3" s="1"/>
  <c r="H5" i="3" a="1"/>
  <c r="H5" i="3" s="1"/>
  <c r="J5" i="3" a="1"/>
  <c r="J5" i="3" s="1"/>
  <c r="J2" i="2" a="1"/>
  <c r="J2" i="2" s="1"/>
  <c r="J3" i="2" a="1"/>
  <c r="J3" i="2" s="1"/>
  <c r="F13" i="2" a="1"/>
  <c r="F13" i="2" s="1"/>
  <c r="K3" i="2" a="1"/>
  <c r="K3" i="2" s="1"/>
  <c r="F20" i="2" a="1"/>
  <c r="F20" i="2" s="1"/>
  <c r="J14" i="2" a="1"/>
  <c r="J14" i="2" s="1"/>
  <c r="F15" i="2" a="1"/>
  <c r="F15" i="2" s="1"/>
  <c r="F16" i="2" a="1"/>
  <c r="F16" i="2" s="1"/>
  <c r="K5" i="2" a="1"/>
  <c r="K5" i="2" s="1"/>
  <c r="K9" i="2" a="1"/>
  <c r="K9" i="2" s="1"/>
  <c r="K12" i="2" a="1"/>
  <c r="K12" i="2" s="1"/>
  <c r="K19" i="2" a="1"/>
  <c r="K19" i="2" s="1"/>
  <c r="I18" i="2" a="1"/>
  <c r="I18" i="2" s="1"/>
  <c r="F2" i="2" a="1"/>
  <c r="F2" i="2" s="1"/>
  <c r="J13" i="2" a="1"/>
  <c r="J13" i="2" s="1"/>
  <c r="F19" i="2" a="1"/>
  <c r="F19" i="2" s="1"/>
  <c r="I11" i="2" a="1"/>
  <c r="I11" i="2" s="1"/>
  <c r="I7" i="2" a="1"/>
  <c r="I7" i="2" s="1"/>
  <c r="I17" i="2" a="1"/>
  <c r="I17" i="2" s="1"/>
  <c r="K8" i="2" a="1"/>
  <c r="K8" i="2" s="1"/>
  <c r="F12" i="2" a="1"/>
  <c r="F12" i="2" s="1"/>
  <c r="I14" i="2" a="1"/>
  <c r="I14" i="2" s="1"/>
  <c r="K20" i="2" a="1"/>
  <c r="K20" i="2" s="1"/>
  <c r="J9" i="2" a="1"/>
  <c r="J9" i="2" s="1"/>
  <c r="K10" i="2" a="1"/>
  <c r="K10" i="2" s="1"/>
  <c r="F14" i="2" a="1"/>
  <c r="F14" i="2" s="1"/>
  <c r="I2" i="2" a="1"/>
  <c r="I2" i="2" s="1"/>
  <c r="F11" i="2" a="1"/>
  <c r="F11" i="2" s="1"/>
  <c r="F4" i="2" a="1"/>
  <c r="F4" i="2" s="1"/>
  <c r="I9" i="2" a="1"/>
  <c r="I9" i="2" s="1"/>
  <c r="F10" i="2" a="1"/>
  <c r="F10" i="2" s="1"/>
  <c r="F8" i="2" a="1"/>
  <c r="F8" i="2" s="1"/>
  <c r="J11" i="2" a="1"/>
  <c r="J11" i="2" s="1"/>
  <c r="F6" i="2" a="1"/>
  <c r="F6" i="2" s="1"/>
  <c r="D70" i="5" a="1"/>
  <c r="D70" i="5" s="1"/>
  <c r="D71" i="5" a="1"/>
  <c r="D71" i="5" s="1"/>
  <c r="G71" i="5" a="1"/>
  <c r="G71" i="5" s="1"/>
  <c r="H71" i="5" a="1"/>
  <c r="H71" i="5" s="1"/>
  <c r="I71" i="5" a="1"/>
  <c r="I71" i="5" s="1"/>
  <c r="G70" i="5" a="1"/>
  <c r="G70" i="5" s="1"/>
  <c r="H70" i="5" a="1"/>
  <c r="H70" i="5" s="1"/>
  <c r="I70" i="5" a="1"/>
  <c r="I70" i="5" s="1"/>
  <c r="D62" i="5" a="1"/>
  <c r="D62" i="5" s="1"/>
  <c r="G62" i="5" a="1"/>
  <c r="G62" i="5" s="1"/>
  <c r="H62" i="5" a="1"/>
  <c r="H62" i="5" s="1"/>
  <c r="I62" i="5" a="1"/>
  <c r="I62" i="5" s="1"/>
  <c r="K14" i="7"/>
  <c r="L17" i="7" s="1"/>
  <c r="M17" i="7"/>
  <c r="N17" i="7"/>
  <c r="N16" i="7"/>
  <c r="M16" i="7"/>
  <c r="M15" i="7"/>
  <c r="N15" i="7"/>
  <c r="H21" i="5" a="1"/>
  <c r="H21" i="5" s="1"/>
  <c r="I42" i="5" a="1"/>
  <c r="I42" i="5" s="1"/>
  <c r="D40" i="5" a="1"/>
  <c r="D40" i="5" s="1"/>
  <c r="G11" i="5" a="1"/>
  <c r="G11" i="5" s="1"/>
  <c r="H32" i="5" a="1"/>
  <c r="H32" i="5" s="1"/>
  <c r="I52" i="5" a="1"/>
  <c r="I52" i="5" s="1"/>
  <c r="G6" i="5" a="1"/>
  <c r="G6" i="5" s="1"/>
  <c r="H27" i="5" a="1"/>
  <c r="H27" i="5" s="1"/>
  <c r="I47" i="5" a="1"/>
  <c r="I47" i="5" s="1"/>
  <c r="G68" i="5" a="1"/>
  <c r="G68" i="5" s="1"/>
  <c r="G9" i="5" a="1"/>
  <c r="G9" i="5" s="1"/>
  <c r="H30" i="5" a="1"/>
  <c r="H30" i="5" s="1"/>
  <c r="I50" i="5" a="1"/>
  <c r="I50" i="5" s="1"/>
  <c r="D3" i="5" a="1"/>
  <c r="D3" i="5" s="1"/>
  <c r="D65" i="5" a="1"/>
  <c r="D65" i="5" s="1"/>
  <c r="G20" i="5" a="1"/>
  <c r="G20" i="5" s="1"/>
  <c r="H41" i="5" a="1"/>
  <c r="H41" i="5" s="1"/>
  <c r="I60" i="5" a="1"/>
  <c r="I60" i="5" s="1"/>
  <c r="D36" i="5" a="1"/>
  <c r="D36" i="5" s="1"/>
  <c r="H12" i="5" a="1"/>
  <c r="H12" i="5" s="1"/>
  <c r="I33" i="5" a="1"/>
  <c r="I33" i="5" s="1"/>
  <c r="G54" i="5" a="1"/>
  <c r="G54" i="5" s="1"/>
  <c r="Q13" i="2" s="1"/>
  <c r="D13" i="5" a="1"/>
  <c r="D13" i="5" s="1"/>
  <c r="H23" i="5" a="1"/>
  <c r="H23" i="5" s="1"/>
  <c r="I44" i="5" a="1"/>
  <c r="I44" i="5" s="1"/>
  <c r="G64" i="5" a="1"/>
  <c r="G64" i="5" s="1"/>
  <c r="I15" i="5" a="1"/>
  <c r="I15" i="5" s="1"/>
  <c r="G37" i="5" a="1"/>
  <c r="G37" i="5" s="1"/>
  <c r="H57" i="5" a="1"/>
  <c r="H57" i="5" s="1"/>
  <c r="D39" i="5" a="1"/>
  <c r="D39" i="5" s="1"/>
  <c r="D63" i="5" a="1"/>
  <c r="D63" i="5" s="1"/>
  <c r="D25" i="5" a="1"/>
  <c r="D25" i="5" s="1"/>
  <c r="G24" i="5" a="1"/>
  <c r="G24" i="5" s="1"/>
  <c r="H45" i="5" a="1"/>
  <c r="H45" i="5" s="1"/>
  <c r="I64" i="5" a="1"/>
  <c r="I64" i="5" s="1"/>
  <c r="D47" i="5" a="1"/>
  <c r="D47" i="5" s="1"/>
  <c r="I13" i="5" a="1"/>
  <c r="I13" i="5" s="1"/>
  <c r="G35" i="5" a="1"/>
  <c r="G35" i="5" s="1"/>
  <c r="H55" i="5" a="1"/>
  <c r="H55" i="5" s="1"/>
  <c r="I8" i="5" a="1"/>
  <c r="I8" i="5" s="1"/>
  <c r="G30" i="5" a="1"/>
  <c r="G30" i="5" s="1"/>
  <c r="H50" i="5" a="1"/>
  <c r="H50" i="5" s="1"/>
  <c r="G2" i="5" a="1"/>
  <c r="G2" i="5" s="1"/>
  <c r="I11" i="5" a="1"/>
  <c r="I11" i="5" s="1"/>
  <c r="G33" i="5" a="1"/>
  <c r="G33" i="5" s="1"/>
  <c r="H53" i="5" a="1"/>
  <c r="H53" i="5" s="1"/>
  <c r="D11" i="5" a="1"/>
  <c r="D11" i="5" s="1"/>
  <c r="I22" i="5" a="1"/>
  <c r="I22" i="5" s="1"/>
  <c r="G44" i="5" a="1"/>
  <c r="G44" i="5" s="1"/>
  <c r="H63" i="5" a="1"/>
  <c r="H63" i="5" s="1"/>
  <c r="D44" i="5" a="1"/>
  <c r="D44" i="5" s="1"/>
  <c r="G15" i="5" a="1"/>
  <c r="G15" i="5" s="1"/>
  <c r="H36" i="5" a="1"/>
  <c r="H36" i="5" s="1"/>
  <c r="I56" i="5" a="1"/>
  <c r="I56" i="5" s="1"/>
  <c r="D21" i="5" a="1"/>
  <c r="D21" i="5" s="1"/>
  <c r="I4" i="5" a="1"/>
  <c r="I4" i="5" s="1"/>
  <c r="G26" i="5" a="1"/>
  <c r="G26" i="5" s="1"/>
  <c r="H46" i="5" a="1"/>
  <c r="H46" i="5" s="1"/>
  <c r="I66" i="5" a="1"/>
  <c r="I66" i="5" s="1"/>
  <c r="D53" i="5" a="1"/>
  <c r="D53" i="5" s="1"/>
  <c r="H18" i="5" a="1"/>
  <c r="H18" i="5" s="1"/>
  <c r="I39" i="5" a="1"/>
  <c r="I39" i="5" s="1"/>
  <c r="D57" i="5" a="1"/>
  <c r="D57" i="5" s="1"/>
  <c r="D49" i="5" a="1"/>
  <c r="D49" i="5" s="1"/>
  <c r="H5" i="5" a="1"/>
  <c r="H5" i="5" s="1"/>
  <c r="I26" i="5" a="1"/>
  <c r="I26" i="5" s="1"/>
  <c r="G47" i="5" a="1"/>
  <c r="G47" i="5" s="1"/>
  <c r="H67" i="5" a="1"/>
  <c r="H67" i="5" s="1"/>
  <c r="D55" i="5" a="1"/>
  <c r="D55" i="5" s="1"/>
  <c r="H16" i="5" a="1"/>
  <c r="H16" i="5" s="1"/>
  <c r="I37" i="5" a="1"/>
  <c r="I37" i="5" s="1"/>
  <c r="G58" i="5" a="1"/>
  <c r="G58" i="5" s="1"/>
  <c r="H11" i="5" a="1"/>
  <c r="H11" i="5" s="1"/>
  <c r="I32" i="5" a="1"/>
  <c r="I32" i="5" s="1"/>
  <c r="G53" i="5" a="1"/>
  <c r="G53" i="5" s="1"/>
  <c r="D10" i="5" a="1"/>
  <c r="D10" i="5" s="1"/>
  <c r="H14" i="5" a="1"/>
  <c r="H14" i="5" s="1"/>
  <c r="I35" i="5" a="1"/>
  <c r="I35" i="5" s="1"/>
  <c r="G56" i="5" a="1"/>
  <c r="G56" i="5" s="1"/>
  <c r="D19" i="5" a="1"/>
  <c r="D19" i="5" s="1"/>
  <c r="G4" i="5" a="1"/>
  <c r="G4" i="5" s="1"/>
  <c r="H25" i="5" a="1"/>
  <c r="H25" i="5" s="1"/>
  <c r="G66" i="5" a="1"/>
  <c r="G66" i="5" s="1"/>
  <c r="D51" i="5" a="1"/>
  <c r="D51" i="5" s="1"/>
  <c r="I17" i="5" a="1"/>
  <c r="I17" i="5" s="1"/>
  <c r="G39" i="5" a="1"/>
  <c r="G39" i="5" s="1"/>
  <c r="H59" i="5" a="1"/>
  <c r="H59" i="5" s="1"/>
  <c r="D29" i="5" a="1"/>
  <c r="D29" i="5" s="1"/>
  <c r="H7" i="5" a="1"/>
  <c r="H7" i="5" s="1"/>
  <c r="I28" i="5" a="1"/>
  <c r="I28" i="5" s="1"/>
  <c r="G49" i="5" a="1"/>
  <c r="G49" i="5" s="1"/>
  <c r="H69" i="5" a="1"/>
  <c r="H69" i="5" s="1"/>
  <c r="D60" i="5" a="1"/>
  <c r="D60" i="5" s="1"/>
  <c r="G21" i="5" a="1"/>
  <c r="G21" i="5" s="1"/>
  <c r="H42" i="5" a="1"/>
  <c r="H42" i="5" s="1"/>
  <c r="I61" i="5" a="1"/>
  <c r="I61" i="5" s="1"/>
  <c r="D9" i="5" a="1"/>
  <c r="D9" i="5" s="1"/>
  <c r="D17" i="5" a="1"/>
  <c r="D17" i="5" s="1"/>
  <c r="D31" i="5" a="1"/>
  <c r="D31" i="5" s="1"/>
  <c r="D35" i="5" a="1"/>
  <c r="D35" i="5" s="1"/>
  <c r="I30" i="5" a="1"/>
  <c r="I30" i="5" s="1"/>
  <c r="D4" i="5" a="1"/>
  <c r="D4" i="5" s="1"/>
  <c r="H44" i="5" a="1"/>
  <c r="H44" i="5" s="1"/>
  <c r="D45" i="5" a="1"/>
  <c r="D45" i="5" s="1"/>
  <c r="G34" i="5" a="1"/>
  <c r="G34" i="5" s="1"/>
  <c r="G5" i="5" a="1"/>
  <c r="G5" i="5" s="1"/>
  <c r="I46" i="5" a="1"/>
  <c r="I46" i="5" s="1"/>
  <c r="D61" i="5" a="1"/>
  <c r="D61" i="5" s="1"/>
  <c r="G8" i="5" a="1"/>
  <c r="G8" i="5" s="1"/>
  <c r="H29" i="5" a="1"/>
  <c r="H29" i="5" s="1"/>
  <c r="I49" i="5" a="1"/>
  <c r="I49" i="5" s="1"/>
  <c r="I2" i="5" a="1"/>
  <c r="I2" i="5" s="1"/>
  <c r="G19" i="5" a="1"/>
  <c r="G19" i="5" s="1"/>
  <c r="H40" i="5" a="1"/>
  <c r="H40" i="5" s="1"/>
  <c r="G14" i="5" a="1"/>
  <c r="G14" i="5" s="1"/>
  <c r="H35" i="5" a="1"/>
  <c r="H35" i="5" s="1"/>
  <c r="I55" i="5" a="1"/>
  <c r="I55" i="5" s="1"/>
  <c r="D18" i="5" a="1"/>
  <c r="D18" i="5" s="1"/>
  <c r="G17" i="5" a="1"/>
  <c r="G17" i="5" s="1"/>
  <c r="H38" i="5" a="1"/>
  <c r="H38" i="5" s="1"/>
  <c r="I58" i="5" a="1"/>
  <c r="I58" i="5" s="1"/>
  <c r="D27" i="5" a="1"/>
  <c r="D27" i="5" s="1"/>
  <c r="I6" i="5" a="1"/>
  <c r="I6" i="5" s="1"/>
  <c r="G28" i="5" a="1"/>
  <c r="G28" i="5" s="1"/>
  <c r="H48" i="5" a="1"/>
  <c r="H48" i="5" s="1"/>
  <c r="I68" i="5" a="1"/>
  <c r="I68" i="5" s="1"/>
  <c r="D59" i="5" a="1"/>
  <c r="D59" i="5" s="1"/>
  <c r="H20" i="5" a="1"/>
  <c r="H20" i="5" s="1"/>
  <c r="I41" i="5" a="1"/>
  <c r="I41" i="5" s="1"/>
  <c r="G61" i="5" a="1"/>
  <c r="G61" i="5" s="1"/>
  <c r="D37" i="5" a="1"/>
  <c r="D37" i="5" s="1"/>
  <c r="G10" i="5" a="1"/>
  <c r="G10" i="5" s="1"/>
  <c r="H31" i="5" a="1"/>
  <c r="H31" i="5" s="1"/>
  <c r="I51" i="5" a="1"/>
  <c r="I51" i="5" s="1"/>
  <c r="D6" i="5" a="1"/>
  <c r="D6" i="5" s="1"/>
  <c r="D68" i="5" a="1"/>
  <c r="D68" i="5" s="1"/>
  <c r="I23" i="5" a="1"/>
  <c r="I23" i="5" s="1"/>
  <c r="G45" i="5" a="1"/>
  <c r="G45" i="5" s="1"/>
  <c r="H64" i="5" a="1"/>
  <c r="H64" i="5" s="1"/>
  <c r="D41" i="5" a="1"/>
  <c r="D41" i="5" s="1"/>
  <c r="D46" i="5" a="1"/>
  <c r="D46" i="5" s="1"/>
  <c r="D54" i="5" a="1"/>
  <c r="D54" i="5" s="1"/>
  <c r="P13" i="2" s="1"/>
  <c r="G41" i="5" a="1"/>
  <c r="G41" i="5" s="1"/>
  <c r="H9" i="5" a="1"/>
  <c r="H9" i="5" s="1"/>
  <c r="G51" i="5" a="1"/>
  <c r="G51" i="5" s="1"/>
  <c r="D66" i="5" a="1"/>
  <c r="D66" i="5" s="1"/>
  <c r="I63" i="5" a="1"/>
  <c r="I63" i="5" s="1"/>
  <c r="I12" i="5" a="1"/>
  <c r="I12" i="5" s="1"/>
  <c r="D14" i="5" a="1"/>
  <c r="D14" i="5" s="1"/>
  <c r="H26" i="5" a="1"/>
  <c r="H26" i="5" s="1"/>
  <c r="G67" i="5" a="1"/>
  <c r="G67" i="5" s="1"/>
  <c r="D33" i="5" a="1"/>
  <c r="D33" i="5" s="1"/>
  <c r="G57" i="5" a="1"/>
  <c r="G57" i="5" s="1"/>
  <c r="H49" i="5" a="1"/>
  <c r="H49" i="5" s="1"/>
  <c r="D23" i="5" a="1"/>
  <c r="D23" i="5" s="1"/>
  <c r="I10" i="5" a="1"/>
  <c r="I10" i="5" s="1"/>
  <c r="G32" i="5" a="1"/>
  <c r="G32" i="5" s="1"/>
  <c r="H52" i="5" a="1"/>
  <c r="H52" i="5" s="1"/>
  <c r="D8" i="5" a="1"/>
  <c r="D8" i="5" s="1"/>
  <c r="D2" i="5" a="1"/>
  <c r="D2" i="5" s="1"/>
  <c r="I21" i="5" a="1"/>
  <c r="I21" i="5" s="1"/>
  <c r="G43" i="5" a="1"/>
  <c r="G43" i="5" s="1"/>
  <c r="I16" i="5" a="1"/>
  <c r="I16" i="5" s="1"/>
  <c r="G38" i="5" a="1"/>
  <c r="G38" i="5" s="1"/>
  <c r="H58" i="5" a="1"/>
  <c r="H58" i="5" s="1"/>
  <c r="D26" i="5" a="1"/>
  <c r="D26" i="5" s="1"/>
  <c r="I19" i="5" a="1"/>
  <c r="I19" i="5" s="1"/>
  <c r="H60" i="5" a="1"/>
  <c r="H60" i="5" s="1"/>
  <c r="G23" i="5" a="1"/>
  <c r="G23" i="5" s="1"/>
  <c r="H54" i="5" a="1"/>
  <c r="H54" i="5" s="1"/>
  <c r="R13" i="2" s="1"/>
  <c r="D64" i="5" a="1"/>
  <c r="D64" i="5" s="1"/>
  <c r="I7" i="5" a="1"/>
  <c r="I7" i="5" s="1"/>
  <c r="H13" i="5" a="1"/>
  <c r="H13" i="5" s="1"/>
  <c r="I34" i="5" a="1"/>
  <c r="I34" i="5" s="1"/>
  <c r="G55" i="5" a="1"/>
  <c r="G55" i="5" s="1"/>
  <c r="D16" i="5" a="1"/>
  <c r="D16" i="5" s="1"/>
  <c r="G3" i="5" a="1"/>
  <c r="G3" i="5" s="1"/>
  <c r="H24" i="5" a="1"/>
  <c r="H24" i="5" s="1"/>
  <c r="I45" i="5" a="1"/>
  <c r="I45" i="5" s="1"/>
  <c r="G65" i="5" a="1"/>
  <c r="G65" i="5" s="1"/>
  <c r="H19" i="5" a="1"/>
  <c r="H19" i="5" s="1"/>
  <c r="I40" i="5" a="1"/>
  <c r="I40" i="5" s="1"/>
  <c r="G60" i="5" a="1"/>
  <c r="G60" i="5" s="1"/>
  <c r="D34" i="5" a="1"/>
  <c r="D34" i="5" s="1"/>
  <c r="H22" i="5" a="1"/>
  <c r="H22" i="5" s="1"/>
  <c r="I43" i="5" a="1"/>
  <c r="I43" i="5" s="1"/>
  <c r="G63" i="5" a="1"/>
  <c r="G63" i="5" s="1"/>
  <c r="D43" i="5" a="1"/>
  <c r="D43" i="5" s="1"/>
  <c r="G12" i="5" a="1"/>
  <c r="G12" i="5" s="1"/>
  <c r="H33" i="5" a="1"/>
  <c r="H33" i="5" s="1"/>
  <c r="I53" i="5" a="1"/>
  <c r="I53" i="5" s="1"/>
  <c r="D12" i="5" a="1"/>
  <c r="D12" i="5" s="1"/>
  <c r="H4" i="5" a="1"/>
  <c r="H4" i="5" s="1"/>
  <c r="I25" i="5" a="1"/>
  <c r="I25" i="5" s="1"/>
  <c r="G46" i="5" a="1"/>
  <c r="G46" i="5" s="1"/>
  <c r="H66" i="5" a="1"/>
  <c r="H66" i="5" s="1"/>
  <c r="D52" i="5" a="1"/>
  <c r="D52" i="5" s="1"/>
  <c r="H15" i="5" a="1"/>
  <c r="H15" i="5" s="1"/>
  <c r="I36" i="5" a="1"/>
  <c r="I36" i="5" s="1"/>
  <c r="D22" i="5" a="1"/>
  <c r="D22" i="5" s="1"/>
  <c r="G29" i="5" a="1"/>
  <c r="G29" i="5" s="1"/>
  <c r="I69" i="5" a="1"/>
  <c r="I69" i="5" s="1"/>
  <c r="D56" i="5" a="1"/>
  <c r="D56" i="5" s="1"/>
  <c r="G16" i="5" a="1"/>
  <c r="G16" i="5" s="1"/>
  <c r="H37" i="5" a="1"/>
  <c r="H37" i="5" s="1"/>
  <c r="I57" i="5" a="1"/>
  <c r="I57" i="5" s="1"/>
  <c r="D24" i="5" a="1"/>
  <c r="D24" i="5" s="1"/>
  <c r="I5" i="5" a="1"/>
  <c r="I5" i="5" s="1"/>
  <c r="G27" i="5" a="1"/>
  <c r="G27" i="5" s="1"/>
  <c r="H47" i="5" a="1"/>
  <c r="H47" i="5" s="1"/>
  <c r="I67" i="5" a="1"/>
  <c r="I67" i="5" s="1"/>
  <c r="G22" i="5" a="1"/>
  <c r="G22" i="5" s="1"/>
  <c r="H43" i="5" a="1"/>
  <c r="H43" i="5" s="1"/>
  <c r="I3" i="5" a="1"/>
  <c r="I3" i="5" s="1"/>
  <c r="G25" i="5" a="1"/>
  <c r="G25" i="5" s="1"/>
  <c r="I65" i="5" a="1"/>
  <c r="I65" i="5" s="1"/>
  <c r="D50" i="5" a="1"/>
  <c r="D50" i="5" s="1"/>
  <c r="I14" i="5" a="1"/>
  <c r="I14" i="5" s="1"/>
  <c r="G36" i="5" a="1"/>
  <c r="G36" i="5" s="1"/>
  <c r="H56" i="5" a="1"/>
  <c r="H56" i="5" s="1"/>
  <c r="D20" i="5" a="1"/>
  <c r="D20" i="5" s="1"/>
  <c r="G7" i="5" a="1"/>
  <c r="G7" i="5" s="1"/>
  <c r="H28" i="5" a="1"/>
  <c r="H28" i="5" s="1"/>
  <c r="I48" i="5" a="1"/>
  <c r="I48" i="5" s="1"/>
  <c r="G69" i="5" a="1"/>
  <c r="G69" i="5" s="1"/>
  <c r="G18" i="5" a="1"/>
  <c r="G18" i="5" s="1"/>
  <c r="H39" i="5" a="1"/>
  <c r="H39" i="5" s="1"/>
  <c r="I59" i="5" a="1"/>
  <c r="I59" i="5" s="1"/>
  <c r="D30" i="5" a="1"/>
  <c r="D30" i="5" s="1"/>
  <c r="H10" i="5" a="1"/>
  <c r="H10" i="5" s="1"/>
  <c r="I31" i="5" a="1"/>
  <c r="I31" i="5" s="1"/>
  <c r="G52" i="5" a="1"/>
  <c r="G52" i="5" s="1"/>
  <c r="D7" i="5" a="1"/>
  <c r="D7" i="5" s="1"/>
  <c r="D15" i="5" a="1"/>
  <c r="D15" i="5" s="1"/>
  <c r="D48" i="5" a="1"/>
  <c r="D48" i="5" s="1"/>
  <c r="I18" i="5" a="1"/>
  <c r="I18" i="5" s="1"/>
  <c r="G40" i="5" a="1"/>
  <c r="G40" i="5" s="1"/>
  <c r="D32" i="5" a="1"/>
  <c r="D32" i="5" s="1"/>
  <c r="H8" i="5" a="1"/>
  <c r="H8" i="5" s="1"/>
  <c r="I29" i="5" a="1"/>
  <c r="I29" i="5" s="1"/>
  <c r="G50" i="5" a="1"/>
  <c r="G50" i="5" s="1"/>
  <c r="H3" i="5" a="1"/>
  <c r="H3" i="5" s="1"/>
  <c r="I24" i="5" a="1"/>
  <c r="I24" i="5" s="1"/>
  <c r="H65" i="5" a="1"/>
  <c r="H65" i="5" s="1"/>
  <c r="H6" i="5" a="1"/>
  <c r="H6" i="5" s="1"/>
  <c r="I27" i="5" a="1"/>
  <c r="I27" i="5" s="1"/>
  <c r="G48" i="5" a="1"/>
  <c r="G48" i="5" s="1"/>
  <c r="H68" i="5" a="1"/>
  <c r="H68" i="5" s="1"/>
  <c r="D58" i="5" a="1"/>
  <c r="D58" i="5" s="1"/>
  <c r="H17" i="5" a="1"/>
  <c r="H17" i="5" s="1"/>
  <c r="I38" i="5" a="1"/>
  <c r="I38" i="5" s="1"/>
  <c r="G59" i="5" a="1"/>
  <c r="G59" i="5" s="1"/>
  <c r="D28" i="5" a="1"/>
  <c r="D28" i="5" s="1"/>
  <c r="I9" i="5" a="1"/>
  <c r="I9" i="5" s="1"/>
  <c r="G31" i="5" a="1"/>
  <c r="G31" i="5" s="1"/>
  <c r="H51" i="5" a="1"/>
  <c r="H51" i="5" s="1"/>
  <c r="D5" i="5" a="1"/>
  <c r="D5" i="5" s="1"/>
  <c r="D67" i="5" a="1"/>
  <c r="D67" i="5" s="1"/>
  <c r="I20" i="5" a="1"/>
  <c r="I20" i="5" s="1"/>
  <c r="G42" i="5" a="1"/>
  <c r="G42" i="5" s="1"/>
  <c r="H61" i="5" a="1"/>
  <c r="H61" i="5" s="1"/>
  <c r="D38" i="5" a="1"/>
  <c r="D38" i="5" s="1"/>
  <c r="G13" i="5" a="1"/>
  <c r="G13" i="5" s="1"/>
  <c r="H34" i="5" a="1"/>
  <c r="H34" i="5" s="1"/>
  <c r="I54" i="5" a="1"/>
  <c r="I54" i="5" s="1"/>
  <c r="S13" i="2" s="1"/>
  <c r="H2" i="5" a="1"/>
  <c r="H2" i="5" s="1"/>
  <c r="D42" i="5" a="1"/>
  <c r="D42" i="5" s="1"/>
  <c r="D69" i="5" a="1"/>
  <c r="D69" i="5" s="1"/>
  <c r="P15" i="2" l="1"/>
  <c r="P3" i="2"/>
  <c r="P19" i="2"/>
  <c r="Q2" i="2"/>
  <c r="Q19" i="2"/>
  <c r="R19" i="2"/>
  <c r="S21" i="2"/>
  <c r="Q3" i="2"/>
  <c r="P21" i="2"/>
  <c r="R3" i="2"/>
  <c r="S8" i="2"/>
  <c r="R21" i="2"/>
  <c r="S3" i="2"/>
  <c r="S19" i="2"/>
  <c r="S7" i="2"/>
  <c r="P16" i="2"/>
  <c r="S16" i="2"/>
  <c r="R16" i="2"/>
  <c r="Q16" i="2"/>
  <c r="L16" i="7"/>
  <c r="Q21" i="2"/>
  <c r="L15" i="7"/>
  <c r="P7" i="2"/>
  <c r="Q7" i="2"/>
  <c r="R7" i="2"/>
  <c r="P10" i="2"/>
  <c r="S15" i="2"/>
  <c r="S17" i="2"/>
  <c r="Q6" i="2"/>
  <c r="P9" i="2"/>
  <c r="P6" i="2"/>
  <c r="P11" i="2"/>
  <c r="P17" i="2"/>
  <c r="P20" i="2"/>
  <c r="R14" i="2"/>
  <c r="P18" i="2"/>
  <c r="R12" i="2"/>
  <c r="P14" i="2"/>
  <c r="P12" i="2"/>
  <c r="Q17" i="2"/>
  <c r="P2" i="2"/>
  <c r="Q10" i="2"/>
  <c r="P8" i="2"/>
  <c r="S6" i="2"/>
  <c r="Q15" i="2"/>
  <c r="S10" i="2"/>
  <c r="S20" i="2"/>
  <c r="P5" i="2"/>
  <c r="S4" i="2"/>
  <c r="P4" i="2"/>
  <c r="R15" i="2"/>
  <c r="R11" i="2"/>
  <c r="Q5" i="2"/>
  <c r="R6" i="2"/>
  <c r="S11" i="2"/>
  <c r="Q14" i="2"/>
  <c r="S12" i="2"/>
  <c r="R9" i="2"/>
  <c r="R2" i="2"/>
  <c r="S9" i="2"/>
  <c r="S5" i="2"/>
  <c r="Q12" i="2"/>
  <c r="Q11" i="2"/>
  <c r="R10" i="2"/>
  <c r="Q9" i="2"/>
  <c r="Q20" i="2"/>
  <c r="Q18" i="2"/>
  <c r="S14" i="2"/>
  <c r="Q8" i="2"/>
  <c r="S2" i="2"/>
  <c r="S18" i="2"/>
  <c r="R5" i="2"/>
  <c r="R17" i="2"/>
  <c r="R18" i="2"/>
  <c r="R8" i="2"/>
  <c r="R4" i="2"/>
  <c r="Q4" i="2"/>
  <c r="R20" i="2"/>
  <c r="R4" i="3" a="1"/>
  <c r="R4" i="3" s="1"/>
  <c r="R5" i="3" a="1"/>
  <c r="R5" i="3" s="1"/>
  <c r="R6" i="3" a="1"/>
  <c r="R6" i="3" s="1"/>
  <c r="R3" i="3" a="1"/>
  <c r="R3" i="3" s="1"/>
  <c r="R2" i="3" a="1"/>
  <c r="R2" i="3" s="1"/>
  <c r="U3" i="3" l="1"/>
  <c r="S3" i="3"/>
  <c r="U5" i="3"/>
  <c r="T3" i="3"/>
  <c r="S6" i="3"/>
  <c r="U2" i="3"/>
  <c r="S4" i="3"/>
  <c r="T6" i="3"/>
  <c r="S5" i="3"/>
  <c r="T4" i="3"/>
  <c r="T2" i="3"/>
  <c r="S2" i="3"/>
  <c r="T5" i="3"/>
  <c r="U6" i="3"/>
  <c r="U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<sst xmlns="http://schemas.openxmlformats.org/spreadsheetml/2006/main" count="1739" uniqueCount="726">
  <si>
    <t>new seq</t>
  </si>
  <si>
    <t>doc type</t>
  </si>
  <si>
    <t>evidence_role</t>
  </si>
  <si>
    <t>changed_model_name</t>
  </si>
  <si>
    <t>Key information</t>
  </si>
  <si>
    <t>changed_model_event_count</t>
  </si>
  <si>
    <t>changed_model_unique_count</t>
  </si>
  <si>
    <t>commit</t>
  </si>
  <si>
    <t>['add']</t>
  </si>
  <si>
    <t>['snowflake/snowflake-arctic-embed-m-long']</t>
  </si>
  <si>
    <t>Introduced an embedding model to enable model-based jailbreak detection.</t>
  </si>
  <si>
    <t>other_doc</t>
  </si>
  <si>
    <t>Adopted an embedding-based model to support machine-learning-driven jailbreak detection.</t>
  </si>
  <si>
    <t>['openai-community/gpt2-large']</t>
  </si>
  <si>
    <t>A language model is added as an evaluation component to compute perplexity-based heuristics for jailbreak detection.</t>
  </si>
  <si>
    <t>release_note</t>
  </si>
  <si>
    <t>['mahmoodlab/titan']</t>
  </si>
  <si>
    <t>Added pretrained models to support additional feature extraction pipelines.</t>
  </si>
  <si>
    <t>There is currently one available model-based detection, using a random forest-based detector trained on [`snowflake/snowflake-arctic-embed-m-long`](https://huggingface.co/Snowflake/snowflake-arctic-embed-m-long) embeddings.</t>
  </si>
  <si>
    <t>pull_request</t>
  </si>
  <si>
    <t>['google-bert/bert-base-cased']</t>
  </si>
  <si>
    <t>Introduced an unsupervised context retriever using BERT to improve named entity recognition and downstream rule-based unification.</t>
  </si>
  <si>
    <t>['google-bert/bert-base-uncased']</t>
  </si>
  <si>
    <t>More additions of models to rel extraction</t>
  </si>
  <si>
    <t>Add bert-base-uncased for Relation extraction</t>
  </si>
  <si>
    <t>['prajjwal1/bert-tiny']</t>
  </si>
  <si>
    <t>Adding test case for BERT and reverting config changes</t>
  </si>
  <si>
    <t>['remove']</t>
  </si>
  <si>
    <t>issue</t>
  </si>
  <si>
    <t>['migrate']</t>
  </si>
  <si>
    <t>['openai/whisper-tiny']</t>
  </si>
  <si>
    <t>Replace whisper-small with whisper-tiny to save disk space</t>
  </si>
  <si>
    <t>['alibaba-nlp/gte-base-en-v1.5']</t>
  </si>
  <si>
    <t>Uses a model (gte-base-en) that does not have license restrictions</t>
  </si>
  <si>
    <t>Uses a model (gte-base-en) that to avoid EULA and account-gated usage.</t>
  </si>
  <si>
    <t>['tinyllama/tinyllama-1.1b-chat-v1.0']</t>
  </si>
  <si>
    <t>['meta-llama/llama-3.1-8b']</t>
  </si>
  <si>
    <t>Added a newer LLaMA model to improve inference performance based on benchmarking on H100 GPUs.</t>
  </si>
  <si>
    <t>Added model-related benchmarking to evaluate performance.</t>
  </si>
  <si>
    <t>Added model to leverage improved INT8 performance on H100 GPUs.</t>
  </si>
  <si>
    <t>['openai/whisper-large-v3']</t>
  </si>
  <si>
    <t>Add whisper to support AutoCaption Feature</t>
  </si>
  <si>
    <t>Add Whisper model to Implement real-time functionality, enabling it to transcribe speech into text as the user speaks🎤</t>
  </si>
  <si>
    <t>['spacy/en_core_web_sm']</t>
  </si>
  <si>
    <t>Add a spacy model as natural language processor providing basic linguistic analysis functions.</t>
  </si>
  <si>
    <t>Added support for CONCH model to enable inference on H&amp;E pathology patches.</t>
  </si>
  <si>
    <t>Added CONCH model support for histopathology patch inference.</t>
  </si>
  <si>
    <t>code_comment</t>
  </si>
  <si>
    <t>['sentence-transformers/all-minilm-l6-v2']</t>
  </si>
  <si>
    <t>Add Sentence Transformers embeddings to generate representative keywords for topic clusters</t>
  </si>
  <si>
    <t>['deepseek-ai/deepseek-v2-lite']</t>
  </si>
  <si>
    <t>Added deepseek model support to enable system-role prompting.</t>
  </si>
  <si>
    <t>['timm/vit_so400m_patch14_siglip_384.webli']</t>
  </si>
  <si>
    <t>Added model support to enable PyTorch engine compatibility.</t>
  </si>
  <si>
    <t>['rendeirolab/lazyslide-models']</t>
  </si>
  <si>
    <t>Add a model support for artifact segmentation</t>
  </si>
  <si>
    <t>Added an embeddings-based method for automated mapping correctness checks.</t>
  </si>
  <si>
    <t>Add embeddings-based approach for mapping checking</t>
  </si>
  <si>
    <t>Implemented an embeddings-based approach for checking mappings.</t>
  </si>
  <si>
    <t>['openai-community/gpt2']</t>
  </si>
  <si>
    <t>Added GPT-based retrievers alongside BM25 for retrieval-aware training.</t>
  </si>
  <si>
    <t>Added BM25 and GPT retrievers to the retrieval-aware training..</t>
  </si>
  <si>
    <t>Used the GPT-2 tokenizer for text tokenization.</t>
  </si>
  <si>
    <t>['trl-internal-testing/dummy-gpt2-correct-vocab']</t>
  </si>
  <si>
    <t>This PR replaces gpt2 with a tiny gpt2 with a correct vocab_size to make tests faster</t>
  </si>
  <si>
    <t>['qwen/qwen3-4b']</t>
  </si>
  <si>
    <t>Added qwen tiny model to enable lightweight testing support.</t>
  </si>
  <si>
    <t>Added Qwen3 tiny model support to avoid using large models in tests.</t>
  </si>
  <si>
    <t>Added Qwen3 tiny models for fast internal testing workflows.</t>
  </si>
  <si>
    <t>['codellama/codellama-7b-instruct-hf']</t>
  </si>
  <si>
    <t>['deepseek-ai/deepseek-moe-16b-base']</t>
  </si>
  <si>
    <t>Added support for DeepSeek MoE sparse parallelism.</t>
  </si>
  <si>
    <t>Added model to support MoE architecture.</t>
  </si>
  <si>
    <t>['vectara/hallucination_evaluation_model']</t>
  </si>
  <si>
    <t>Added model to calculate faithfulness enable hallucination detection metrics (functionality).</t>
  </si>
  <si>
    <t>Added the HHEM model to compute faithfulness scores (functionality).</t>
  </si>
  <si>
    <t>Add use of the HHEM model for hallucination detection (functionality)</t>
  </si>
  <si>
    <t>Enable RAG (retrieval-augmented generation) support using SentenceTransformer embeddings.</t>
  </si>
  <si>
    <t>Added embeddings model to support RAG.</t>
  </si>
  <si>
    <t>['briaai/rmbg-1.4']</t>
  </si>
  <si>
    <t>Added rmbg model to expand background removal support.</t>
  </si>
  <si>
    <t>Added support for selecting a background removal model.</t>
  </si>
  <si>
    <t>['seshing/placepulse']</t>
  </si>
  <si>
    <t>Added model to enable place perception classification functionality</t>
  </si>
  <si>
    <t>Added model to support place classification</t>
  </si>
  <si>
    <t>Introduced a new model for Place Pulse perception prediction.</t>
  </si>
  <si>
    <t>['black-forest-labs/flux.1-dev']</t>
  </si>
  <si>
    <t>['retrieva-jp/t5-small-short']</t>
  </si>
  <si>
    <t>Migrated to a smaller T5 model to speed up testing.</t>
  </si>
  <si>
    <t>['compvis/stable-diffusion-v1-4', 'stabilityai/stable-diffusion-2-1-base', 'stabilityai/stable-diffusion-2-base', 'dreamlike-art/dreamlike-photoreal-2.0', 'segmind/ssd-1b', 'dreamlike-art/dreamlike-diffusion-1.0', 'prompthero/openjourney', 'microsoft/promptist', 'nitrosocke/redshift-diffusion', 'aiml-tuda/stable-diffusion-safe', '22h/vintedois-diffusion-v0-1']</t>
  </si>
  <si>
    <t>Added model to enable text-to-image generation.</t>
  </si>
  <si>
    <t>['stabilityai/stable-diffusion-x4-upscaler']</t>
  </si>
  <si>
    <t>Added inference support for DeepFloyd-IF text-to-image models.</t>
  </si>
  <si>
    <t>['distilbert/distilbert-base-uncased-finetuned-sst-2-english']</t>
  </si>
  <si>
    <t>Adding Preloaded a pretrained sentiment model to avoid runtime downloads.</t>
  </si>
  <si>
    <t>['spacy/da_core_news_sm', 'spacy/da_core_news_trf']</t>
  </si>
  <si>
    <t>Added spacy component for relations extractions using prompts</t>
  </si>
  <si>
    <t>['stabilityai/stable-diffusion-2-1', 'stabilityai/stable-diffusion-2-1-base']</t>
  </si>
  <si>
    <t>Added Stable Diffusion 2.1 for computer vision functionality (text-to-image inference)</t>
  </si>
  <si>
    <t>['stanfordnlp/stanza-en', 'stanfordnlp/stanza-de']</t>
  </si>
  <si>
    <t>Introduce stanza model for sentiment analysis for English</t>
  </si>
  <si>
    <t>['stanfordnlp/stanza-th']</t>
  </si>
  <si>
    <t>Integrate stanza model with PyThaiNLP as an external Thai tokenizer</t>
  </si>
  <si>
    <t>['facebook/bart-large-mnli']</t>
  </si>
  <si>
    <t>Added a pretrained model for text classification tasks.</t>
  </si>
  <si>
    <t>Migrated to a smaller BERT model to reduce memory usage in tests.</t>
  </si>
  <si>
    <t>Added sentence-transformers model support to enable feature extraction pipelines.</t>
  </si>
  <si>
    <t>Add support for feature extraction pipelines to transformers</t>
  </si>
  <si>
    <t>Adds support for FeatureExtractionPipelines (sentence-transformers, per popular request) to the transformers flavor.</t>
  </si>
  <si>
    <t>['csarron/mobilebert-uncased-squad-v2', 'google/tapas-tiny-finetuned-sqa']</t>
  </si>
  <si>
    <t>Migrated from a test model that violates new Transformers config rules (configuration policy changes causing test failures) to a compliant alternative.</t>
  </si>
  <si>
    <t>['distilbert/distilbert-base-uncased']</t>
  </si>
  <si>
    <t>Use distilbert-base-uncased in gateway completions test for faster execution</t>
  </si>
  <si>
    <t>Use distilbert-base-uncased in gateway completions test for faster execution.</t>
  </si>
  <si>
    <t>['distilbert/distilgpt2', 'distilbert/distilroberta-base']</t>
  </si>
  <si>
    <t>Added support for logging models via local checkpoints to reduce memory usage.</t>
  </si>
  <si>
    <t xml:space="preserve">Uses a model that does not have license restrictions </t>
  </si>
  <si>
    <t>Use new model because the original model now requires an account and an acceptance of an EULA to use for encoding.</t>
  </si>
  <si>
    <t>['sshleifer/distilbart-cnn-6-6', 'mrm8488/t5-small-finetuned-common_gen', 'averyrealhuman/dialogpt-small-tonystark']</t>
  </si>
  <si>
    <t>Replaced models with smaller variants to re-enable and speed up tests.</t>
  </si>
  <si>
    <t>['nm-testing/llama2.c-stories15m']</t>
  </si>
  <si>
    <t>['stabilityai/stable-diffusion-2-1-base', 'stabilityai/stable-diffusion-2-base', 'stabilityai/stable-diffusion-2-depth', 'pixart-alpha/pixart-sigma-xl-2-512-ms']</t>
  </si>
  <si>
    <t>Add stable diffusion 2 for Text-guided Image Generation</t>
  </si>
  <si>
    <t>['intel/dpt-hybrid-midas', 'openmmlab/upernet-convnext-small']</t>
  </si>
  <si>
    <t>['stabilityai/stable-cascade-prior']</t>
  </si>
  <si>
    <t>Add cascade for Text-guided Image Generation</t>
  </si>
  <si>
    <t>['google/bert_uncased_l-2_h-128_a-2']</t>
  </si>
  <si>
    <t>['openai/clip-vit-base-patch32']</t>
  </si>
  <si>
    <t>Add clip vit used to calculate the cosine similarity between the CLIP features of adjacent frames of a given video to test temporal consistency,</t>
  </si>
  <si>
    <t>['yujiepan/whisper-v3-tiny-random']</t>
  </si>
  <si>
    <t>Migrated to tiny random models to speed up tests.</t>
  </si>
  <si>
    <t>Switched to tiny random models for faster test execution</t>
  </si>
  <si>
    <t>['google-bert/bert-base-uncased', 'google-bert/bert-base-cased', 'castorini/doc2query-t5-base-msmarco']</t>
  </si>
  <si>
    <t>Add bert model to perform tokenization tests to validate query generation behavior of the existing doc2query model.</t>
  </si>
  <si>
    <t xml:space="preserve">Add bert model for query encoding </t>
  </si>
  <si>
    <t>Added model to support query encoding and topic generation.</t>
  </si>
  <si>
    <t>['facebookai/xlm-roberta-base', 'google-bert/bert-base-multilingual-cased', 'google-bert/bert-base-multilingual-uncased']</t>
  </si>
  <si>
    <t>Added a tokenization script based on bert model for document and query processing.</t>
  </si>
  <si>
    <t>Added model to support word-piece tokenization.</t>
  </si>
  <si>
    <t>['microsoft/speecht5_tts', 'microsoft/speecht5_hifigan']</t>
  </si>
  <si>
    <t>Added ASR and TTS components using speecht5_tt5 model optimized for Xeon and HPU (hardware-specific speech components.)</t>
  </si>
  <si>
    <t>['microsoft/deberta-v2-xlarge-mnli']</t>
  </si>
  <si>
    <t>['tarekziade/pardonmyai']</t>
  </si>
  <si>
    <t>Added pardonmyai model to enable profanity classification.</t>
  </si>
  <si>
    <t>['zigeng/slimsam-uniform-77', 'zigeng/slimsam-uniform-50']</t>
  </si>
  <si>
    <t>Added model to enable instance segmentation dataset generation.</t>
  </si>
  <si>
    <t>['shuttleai/shuttle-3-diffusion']</t>
  </si>
  <si>
    <t>Added an image generation model based on Shuttle 3 Diffusion.</t>
  </si>
  <si>
    <t>Implemented Shuttle 3 Diffusion as an image generator.</t>
  </si>
  <si>
    <t>Add Shuttle 3 Diffusion for image generator</t>
  </si>
  <si>
    <t>['apple/aimv2-large-patch14-224-lit']</t>
  </si>
  <si>
    <t>Added aimv2 model to enable image classification annotation.</t>
  </si>
  <si>
    <t>Added model to support image classification annotation</t>
  </si>
  <si>
    <t>Added an Apple-licensed AIMv2 image classification annotator.</t>
  </si>
  <si>
    <t>Added spacy model to enable named entity recognition.</t>
  </si>
  <si>
    <t>['thudm/chatglm3-6b', 'thudm/glm-4-9b-chat', 'deepseek-ai/deepseek-v2-lite', 'deepseek-ai/deepseek-coder-1.3b-instruct', 'thudm/codegeex4-all-9b', 'opengvlab/mini-internvl-chat-4b-v1-5']</t>
  </si>
  <si>
    <t>['trl-internal-testing/tiny-qwen2forcausallm-2.5', 'trl-internal-testing/tiny-t5forconditionalgeneration', 'trl-internal-testing/tiny-bartmodel', 'trl-internal-testing/tiny-mistralforcausallm-0.1', 'trl-internal-testing/tiny-llavaforconditionalgeneration']</t>
  </si>
  <si>
    <t>['qwen/qwen2.5-32b-instruct']</t>
  </si>
  <si>
    <t>['trl-internal-testing/tiny-qwen2forcausallm-2.5']</t>
  </si>
  <si>
    <t>['sentence-transformers/multi-qa-mpnet-base-cos-v1']</t>
  </si>
  <si>
    <t>Add the embedding model for chatbot</t>
  </si>
  <si>
    <t>['microsoft/resnet-50']</t>
  </si>
  <si>
    <t>Added resnet model usage to enable image feature extraction.</t>
  </si>
  <si>
    <t>['jeeejeee/chatglm3-text2sql-spider', 'jeeejeee/baichuan7b-text2sql-spider']</t>
  </si>
  <si>
    <t>['sangbincho/long_context_16k_testing_1', 'sangbincho/long_context_32k_testing', 'sangbincho/long_context_16k_testing_2']</t>
  </si>
  <si>
    <t>['isotr0py/phi-2-test-sql-lora']</t>
  </si>
  <si>
    <t>['baai/bge-multilingual-gemma2']</t>
  </si>
  <si>
    <t>Added model support to enable OOT embeddings.</t>
  </si>
  <si>
    <t>['facebook/opt-125m']</t>
  </si>
  <si>
    <t>Added model support for opt-125m to enable reasoning content handling.</t>
  </si>
  <si>
    <t>['dyang415/mixtral-lora-v0']</t>
  </si>
  <si>
    <t>Redundant test coverage</t>
  </si>
  <si>
    <t>['sangbincho/long_context_32k_testing', 'sangbincho/long_context_16k_testing_2']</t>
  </si>
  <si>
    <t>['qwen/qwen3-0.6b']</t>
  </si>
  <si>
    <t>['sangbincho/long_context_16k_testing_1']</t>
  </si>
  <si>
    <t>Removed long-context LoRA functionality in V0 due to version deprecation.</t>
  </si>
  <si>
    <t>Removed long-context LoRA because it is unsupported in V1 and rarely used.</t>
  </si>
  <si>
    <t>['jamesdolezal/stain-transfer']</t>
  </si>
  <si>
    <t>['qwen/qwen2.5-3b-instruct']</t>
  </si>
  <si>
    <t>['casperhansen/mistral-7b-instruct-v0.1-awq']</t>
  </si>
  <si>
    <t>['nousresearch/meta-llama-3-8b-instruct']</t>
  </si>
  <si>
    <t>['qwen/qwen2.5-0.5b']</t>
  </si>
  <si>
    <t>['mlx-community/mistral-7b-instruct-v0.3-4bit']</t>
  </si>
  <si>
    <t>['trl-internal-testing/tiny-gemma2forcausallm']</t>
  </si>
  <si>
    <t>['microsoft/phi-4-reasoning']</t>
  </si>
  <si>
    <t>['neelnanda/gpt-neox-tokenizer-digits']</t>
  </si>
  <si>
    <t>Update test to include Neel's NeoX tokenizer</t>
  </si>
  <si>
    <t>['bigscience/bloom-560m']</t>
  </si>
  <si>
    <t>['efficient-large-model/sana_1600m_1024px_bf16_diffusers']</t>
  </si>
  <si>
    <t>['jiani11/human-perception-place-pulse']</t>
  </si>
  <si>
    <t>['facebookai/roberta-large']</t>
  </si>
  <si>
    <t>['mistralai/mistral-small-3.1-24b-instruct-2503']</t>
  </si>
  <si>
    <t>['google/t5-v1_1-xxl']</t>
  </si>
  <si>
    <t>['helsinki-nlp/opus-mt-zh-en']</t>
  </si>
  <si>
    <t>['openai/clip-vit-large-patch14', 'openai/clip-vit-base-patch16']</t>
  </si>
  <si>
    <t>Adds CLIPImageQualityAssessment as new metric to the image subpackage.</t>
  </si>
  <si>
    <t>['google/mobilebert-uncased', 'microsoft/swin-base-patch4-window7-224']</t>
  </si>
  <si>
    <t>['stabilityai/stable-video-diffusion-img2vid-xt']</t>
  </si>
  <si>
    <t>Change ImageToVideo backbone to Stable Diffusion.</t>
  </si>
  <si>
    <t>Change ImageToVideo backbone to Stable Diffusion</t>
  </si>
  <si>
    <t>Add gpt for sequence classification</t>
  </si>
  <si>
    <t>Add GPT2 for sequence classification</t>
  </si>
  <si>
    <t>Add Whisper benchmark by @breuleux in #93</t>
  </si>
  <si>
    <t>['stabilityai/sd-turbo']</t>
  </si>
  <si>
    <t>['facebook/esmfold_v1']</t>
  </si>
  <si>
    <t>['qwen/qwen3-1.7b', 'qwen/qwen3-1.7b-base']</t>
  </si>
  <si>
    <t>['mcg-nju/videomae-base']</t>
  </si>
  <si>
    <t>['tuner007/pegasus_paraphrase']</t>
  </si>
  <si>
    <t>['qwen/qwen2.5-72b-instruct']</t>
  </si>
  <si>
    <t>['facebook/convnext-xlarge-224-22k']</t>
  </si>
  <si>
    <t>Add convnext model for image automatic feature extractor</t>
  </si>
  <si>
    <t>Remove old convnext model that not to be compatible with more recent transformer versions</t>
  </si>
  <si>
    <t>Remove old convnext due to performance issue caused by new version of transformers library</t>
  </si>
  <si>
    <t>['spacy/fr_core_news_sm', 'spacy/en_core_web_sm']</t>
  </si>
  <si>
    <t>Switch to smaller NLP models</t>
  </si>
  <si>
    <t>Replaced the Xenova model stub with a self-hosted stub to fix broken tests after an upstream update of the model, causing it fails to load under device_map due to missing embedding weights
https://huggingface.co/Xenova/llama2.c-stories15M/discussions/4#67cb757f8a3f9443b8a9ff74</t>
  </si>
  <si>
    <t>Add test case for mBERT tokenization in different languages</t>
  </si>
  <si>
    <t>Added multilingual tokenizer test cases using mBERT and XLM-R.</t>
  </si>
  <si>
    <t>Added tokenizer tests across multiple languages based on mBERT and XLM-R.</t>
  </si>
  <si>
    <t>Added mBERT and XLM-R tokenizer test cases for the 9 African languages</t>
  </si>
  <si>
    <t>Added test case for mbert and xlmr tokenizers (am, ha, ig, om, pcm, so, sw, ti, yo)</t>
  </si>
  <si>
    <t>Add the relevance model (microsoft/deberta-v2-xlarge-mnli) due to Improved performance with the use of fast tokenizer, smaller model</t>
  </si>
  <si>
    <t>Remove the models because the current version of the software project no longer supports them (deprecated).</t>
  </si>
  <si>
    <t>Add new models for testing their trainer functionalities</t>
  </si>
  <si>
    <t>Migrate to new models for testing that have the same/consistent namespaces because the original models lack uniformity</t>
  </si>
  <si>
    <t>Migrate to smaller model to speed up testing</t>
  </si>
  <si>
    <t>Add a slightly larger Qwen2.5 model because vLLM testing requires compatible hidden-size/head dimensions (meeting architectural constraints imposed by vLLM integration).</t>
  </si>
  <si>
    <t>Remove the testing models because the current version of the software project no longer supports them (deprecated).</t>
  </si>
  <si>
    <t>Added ChatGLM3 and BaiChuan LoRA adapters to test and enable LoRA-based inference support. for merged-QKV architectures. (LoRa is their functionality)</t>
  </si>
  <si>
    <t>Enabled LoRA inference for ChatGLM3/BaiChuan by adding new LoRA linear wrappers for merged QKV and projection layers. (LoRa is their functionality)</t>
  </si>
  <si>
    <t>Added long-context LoRA models to validate and enable vLLM’s ability to serve multiple LoRA adapters with different context lengths efficiently (because vLLM previously could not efficiently support multiple long-context LoRAs at the same time.)</t>
  </si>
  <si>
    <t>Add phi2 model because user requested LoRA support for PhiForCausalLM after LoRA-enabled usage fails with a “not supported” error.</t>
  </si>
  <si>
    <t>Added model support for opt-125m to enable reasoning content handling (which are designed to generate outputs containing both reasoning steps and final conclusions.)</t>
  </si>
  <si>
    <t>Removed Mixtral model because there are redundant Mixtral LoRA tests due to overlapping coverage and instability in GPTQ-based LoRA testing.</t>
  </si>
  <si>
    <t>Deleted long-context LoRA test data because no active users rely on this feature (lack of active usage); tests may be reintroduced if needed.</t>
  </si>
  <si>
    <t>Remove model due to the purpose of clean up deprecated long context lora functionality</t>
  </si>
  <si>
    <t>Add the qwen3 to support reasoning-output parser</t>
  </si>
  <si>
    <t>Added Qwen3 reasoning-output parser support to fix content=None when thinking/reasoning is disabled.</t>
  </si>
  <si>
    <t>Added model to enable CycleGAN-based stain normalization (their feature)</t>
  </si>
  <si>
    <t>Added model support to enable HuggingFace-based Ulysses sequence parallelism testing.</t>
  </si>
  <si>
    <t>Added Qwen2.5-3B-Instruct as the base model to introduce Rank-R1 (document ranker) a new setwise reranker with reasoning ability (their functionality)</t>
  </si>
  <si>
    <t>Added model to enable training a Rank-R1 reranker via SFT/LoRA.</t>
  </si>
  <si>
    <t>Added model to support a reasoning-capable setwise reranker.</t>
  </si>
  <si>
    <t>Migrate to new model because the curernt mistral decided to gate their models</t>
  </si>
  <si>
    <t>Add meta-llama as a tokenizer</t>
  </si>
  <si>
    <t>Added Qwen2.5-0.5B tokenizer usage in tests for stepwise supervision / process reward model data handling.</t>
  </si>
  <si>
    <t>Added model support as tokenizer to enable process reward model training.</t>
  </si>
  <si>
    <t>Added model as tokenizer to test stepwise supervision / PRM tokenization</t>
  </si>
  <si>
    <t>Add mistral-7b as a tokenizer</t>
  </si>
  <si>
    <t>Swap tiny test model to a safetensors-based version to fix CI failures after upstream torch.load validation changes.</t>
  </si>
  <si>
    <t>Migrate test model to maintain CI compatibility after upstream PyTorch enforcement changes affecting model loading (notably in LoRA kernel tests).</t>
  </si>
  <si>
    <t>Add tokenizer fixture and test coverage to support and validate prompt templates for the Phi-4 reasoning model.</t>
  </si>
  <si>
    <t>Add tokenizer support and tests for the Phi-4 reasoning model.</t>
  </si>
  <si>
    <t>Add a dedicated NeoX tokenizer (“NeelNanda/gpt-neox-tokenizer-digits”) to the tokenizer special-tokens test suite to validate BOS-token handling across models—especially for solu models whose tokenizer cannot be reliably resolved/loaded via the usual Hugging Face “official model name” mapping.
gpt-neox-tokenizer-digits is added as a test dependency so the project can load a tokenizer for the solu-1l case and then validate the existing tokenizer’s special-token behavior</t>
  </si>
  <si>
    <t>bigscience/bloom-560m is a lightweight representative Bloom checkpoint used to reproduce the failure and validate the fix in CI.</t>
  </si>
  <si>
    <t>Extend TransformerLens’ BERT support to remove functional limitations and add missing core capabilities (NSP, string inputs, readable outputs)</t>
  </si>
  <si>
    <t xml:space="preserve">Add BERT support to extend missing core capabilities (NextSentencePrediction, string inputs, readable outputs)  </t>
  </si>
  <si>
    <t>Adds flux.1 dev tool which can generate image variations (their feature)</t>
  </si>
  <si>
    <t>['black-forest-labs/flux.1-redux-dev']</t>
  </si>
  <si>
    <t>Add flux.1-redux-dev to preprocess the image before inputting it into Flux.1-dev.</t>
  </si>
  <si>
    <t>Add new SANA model support to improve inference efficiency and deployment speed.</t>
  </si>
  <si>
    <t>Add jianis model to implement human perception classifer</t>
  </si>
  <si>
    <t>Add mistral-small-3.1-24b-instruct-250 models as tokenizers</t>
  </si>
  <si>
    <t>RoBERTa-large is added as the base model for training on SST-2.</t>
  </si>
  <si>
    <t>Add T5 to compute text embeddings (latent)</t>
  </si>
  <si>
    <t>Add opus model for automatic Chinese prompt detection and translation to English</t>
  </si>
  <si>
    <t>Add clip model for implementing CLIP Image Quality Assessment (CLIP-IQA) - new feature</t>
  </si>
  <si>
    <t>Introduction of compression-aware training via an automated structured pruning algorithm (JPQD), with explicit support extended to additional model families, including MobileBERT and Swin. (Their new feature)</t>
  </si>
  <si>
    <t>Add OPT model support for distributed inference via mock Transformers</t>
  </si>
  <si>
    <t>Add CUT-based Turbo model variant motivated by recent research paper for accelerated image generation</t>
  </si>
  <si>
    <t>Add ESMFold model for protein structure prediction</t>
  </si>
  <si>
    <t>Add pre-trained bert model as a tokenizer</t>
  </si>
  <si>
    <t>Add videomae to detect manipulated facial images</t>
  </si>
  <si>
    <t>Add generation and reference language models for RL trajectory evaluation</t>
  </si>
  <si>
    <t>Add Pegasus-based paraphrase generation for synthetic text creation</t>
  </si>
  <si>
    <t>Add automatic ConvNeXt Featurizer requested from collaborator</t>
  </si>
  <si>
    <t>Add a regression test using BERT to reproduce and guard against failures when loading/saving Transformers models that rely on remote/custom code (trust_remote_code=True) via MLflow’s Transformers integration. (triggered by changes or behavior in the upstream Transformers ecosystem)</t>
  </si>
  <si>
    <t>Code</t>
  </si>
  <si>
    <t>ID</t>
  </si>
  <si>
    <t>Theme</t>
  </si>
  <si>
    <t>C1</t>
  </si>
  <si>
    <t>C2</t>
  </si>
  <si>
    <t>T1</t>
  </si>
  <si>
    <t>T2</t>
  </si>
  <si>
    <t>T3</t>
  </si>
  <si>
    <t>C3</t>
  </si>
  <si>
    <t>Enable model-based jailbreak detection functionality</t>
  </si>
  <si>
    <t>Improve named entity recognition functionality</t>
  </si>
  <si>
    <t>C4</t>
  </si>
  <si>
    <t>Enable relation extraction functionality</t>
  </si>
  <si>
    <t>T4</t>
  </si>
  <si>
    <t>C5</t>
  </si>
  <si>
    <t>C6</t>
  </si>
  <si>
    <t>T5</t>
  </si>
  <si>
    <t>C7</t>
  </si>
  <si>
    <t>Reduce disk and storage footprint</t>
  </si>
  <si>
    <t>Upstream model restrictive licensing</t>
  </si>
  <si>
    <t>C8</t>
  </si>
  <si>
    <t>Upstream model access restriction and EULA/account requirement</t>
  </si>
  <si>
    <t>C9</t>
  </si>
  <si>
    <t>C10</t>
  </si>
  <si>
    <t>Added model to enable quantization and fine-tuning testing (their service/ functionality)</t>
  </si>
  <si>
    <t>C11</t>
  </si>
  <si>
    <t>C12</t>
  </si>
  <si>
    <t>C13</t>
  </si>
  <si>
    <t>Enable automatic captioning functionality</t>
  </si>
  <si>
    <t>C14</t>
  </si>
  <si>
    <t>Enable real-time speech-to-text functionality</t>
  </si>
  <si>
    <t>C15</t>
  </si>
  <si>
    <t>Enable basic linguistic analysis functionality</t>
  </si>
  <si>
    <t>C16</t>
  </si>
  <si>
    <t>Enable pathology patch inference</t>
  </si>
  <si>
    <t>C17</t>
  </si>
  <si>
    <t>C18</t>
  </si>
  <si>
    <t>Enable keyword generation for topic clusters</t>
  </si>
  <si>
    <t>Enable system-role prompting functionality</t>
  </si>
  <si>
    <t>C19</t>
  </si>
  <si>
    <t>Enable artifact segmentation functionality</t>
  </si>
  <si>
    <t>C20</t>
  </si>
  <si>
    <t>C21</t>
  </si>
  <si>
    <t>C22</t>
  </si>
  <si>
    <t>C23</t>
  </si>
  <si>
    <t>Enable lightweight testing for their functionality</t>
  </si>
  <si>
    <t>C24</t>
  </si>
  <si>
    <t>Enable PyTorch engine compatibility</t>
  </si>
  <si>
    <t>C25</t>
  </si>
  <si>
    <t>C26</t>
  </si>
  <si>
    <t>Enable retrieval-augmented tool-call inference/training functionality</t>
  </si>
  <si>
    <t>C27</t>
  </si>
  <si>
    <t>Enable MoE architecture functionality support</t>
  </si>
  <si>
    <t>C28</t>
  </si>
  <si>
    <t>Enable hallucination detection functionality</t>
  </si>
  <si>
    <t>C29</t>
  </si>
  <si>
    <t>C30</t>
  </si>
  <si>
    <t>Enable background removal functionality</t>
  </si>
  <si>
    <t>C31</t>
  </si>
  <si>
    <t>Enable text-to-image generation functionality</t>
  </si>
  <si>
    <t>C32</t>
  </si>
  <si>
    <t>Reduce runtime dependency overhead</t>
  </si>
  <si>
    <t>C33</t>
  </si>
  <si>
    <t>Enable text classification functionality</t>
  </si>
  <si>
    <t>C34</t>
  </si>
  <si>
    <t>C35</t>
  </si>
  <si>
    <t>Upstream model update</t>
  </si>
  <si>
    <t>C36</t>
  </si>
  <si>
    <t>Enable image classification functionality</t>
  </si>
  <si>
    <t>C37</t>
  </si>
  <si>
    <t>C38</t>
  </si>
  <si>
    <t>Architectural constraints of upstream engine</t>
  </si>
  <si>
    <t>C39</t>
  </si>
  <si>
    <t>Enable parameter-efficient fine-tuning inference functionality</t>
  </si>
  <si>
    <t>C40</t>
  </si>
  <si>
    <t>C41</t>
  </si>
  <si>
    <t>Enable CycleGAN-based stain normalization functionality</t>
  </si>
  <si>
    <t>Enable human/place perception classification</t>
  </si>
  <si>
    <t>C42</t>
  </si>
  <si>
    <t>C43</t>
  </si>
  <si>
    <t>Enable compression-aware training functionality</t>
  </si>
  <si>
    <t>C44</t>
  </si>
  <si>
    <t>Enable image-to-video generation functioanlity</t>
  </si>
  <si>
    <t>Add a dedicated NeoX tokenizer (“NeelNanda/gpt-neox-tokenizer-digits”) to the tokenizer special-tokens test suite to validate BOS-token handling across models—especially for solu models whose tokenizer cannot be reliably resolved/loaded via the usual Hugging Face “official model name” mapping.</t>
  </si>
  <si>
    <t>Add Whisper benchmark This is an audio model to replace the speech_transformer benchmark. It is integrated in the huggingface benchmark suite. The code should now be easy to adapt to run any kind of transformer that is made available through the transformers package.</t>
  </si>
  <si>
    <t>Introduce new model evaluation or benchmark</t>
  </si>
  <si>
    <t>C46</t>
  </si>
  <si>
    <t>Enable protein structure prediction</t>
  </si>
  <si>
    <t>C47</t>
  </si>
  <si>
    <t>Switching tokenizer to more larger and modern one</t>
  </si>
  <si>
    <t>C48</t>
  </si>
  <si>
    <t>Need for NLP functionality</t>
  </si>
  <si>
    <t>Need for CV functionality</t>
  </si>
  <si>
    <t>Need for model development and optimization functionality</t>
  </si>
  <si>
    <t>Need for domain-specific functionality</t>
  </si>
  <si>
    <t>Upstream dependency incompatibility</t>
  </si>
  <si>
    <t>Lack of model evaluation or benchmark</t>
  </si>
  <si>
    <t>Model-based end-user functionality retirement</t>
  </si>
  <si>
    <t>Count</t>
  </si>
  <si>
    <t>Biggest Change Type</t>
  </si>
  <si>
    <t>Remove</t>
  </si>
  <si>
    <t>Add</t>
  </si>
  <si>
    <t>M1</t>
  </si>
  <si>
    <t>M2</t>
  </si>
  <si>
    <t>M4</t>
  </si>
  <si>
    <t>M6</t>
  </si>
  <si>
    <t>M7</t>
  </si>
  <si>
    <t>M8</t>
  </si>
  <si>
    <t>M10</t>
  </si>
  <si>
    <t>M11</t>
  </si>
  <si>
    <t>M12</t>
  </si>
  <si>
    <t>M13</t>
  </si>
  <si>
    <t>M14</t>
  </si>
  <si>
    <t>M21</t>
  </si>
  <si>
    <t>M22</t>
  </si>
  <si>
    <t>M25</t>
  </si>
  <si>
    <t>M26</t>
  </si>
  <si>
    <t>M37</t>
  </si>
  <si>
    <t>Enable automated mapping correctness checks on their functionality</t>
  </si>
  <si>
    <t>C49</t>
  </si>
  <si>
    <t>C50</t>
  </si>
  <si>
    <t>C51</t>
  </si>
  <si>
    <t>Enable improvement of inference performance on H100 GPU</t>
  </si>
  <si>
    <t>Enable improvement of inference performance on Xeon and HPU</t>
  </si>
  <si>
    <t>Enable improvement of inference performance motivated by recent research paper</t>
  </si>
  <si>
    <t>C52</t>
  </si>
  <si>
    <t>Evaluate temporal consistency of CLIP features for a video</t>
  </si>
  <si>
    <t>C53</t>
  </si>
  <si>
    <t>Improve speed and efficiency of inference</t>
  </si>
  <si>
    <t>C54</t>
  </si>
  <si>
    <t>Redundant test coverage for model-based functionality</t>
  </si>
  <si>
    <t>C55</t>
  </si>
  <si>
    <t>Expand query encoding capability</t>
  </si>
  <si>
    <t>C56</t>
  </si>
  <si>
    <t>Expand text embedding capability</t>
  </si>
  <si>
    <t>Expand generic feature extraction capabilities</t>
  </si>
  <si>
    <t>C57</t>
  </si>
  <si>
    <t>Enable reasoning content functionality for text generation</t>
  </si>
  <si>
    <t>C58</t>
  </si>
  <si>
    <t>Expand image feature extraction capability</t>
  </si>
  <si>
    <t>C59</t>
  </si>
  <si>
    <t>Expensive computational time in tests</t>
  </si>
  <si>
    <t>High memory usage in tests</t>
  </si>
  <si>
    <t>Enable Image Quality Assessment functionality</t>
  </si>
  <si>
    <t>Doc ID</t>
  </si>
  <si>
    <t>C61</t>
  </si>
  <si>
    <t>Enable testing for validating model output</t>
  </si>
  <si>
    <t>Replaced random-weight non-pretrained Dev tests with pretrained model tests to avoid numerical instability for model output.</t>
  </si>
  <si>
    <t>C62</t>
  </si>
  <si>
    <t>C66</t>
  </si>
  <si>
    <t>Misaligned model response fields under inference configuration (content empty, reasoning_content populated)</t>
  </si>
  <si>
    <t>Add the qwen3 to support reasoning-output parser for fixing bug of Incorrect empty assistant content when disabling thinking mode</t>
  </si>
  <si>
    <t>Add the qwen3 as reasoning-output parser to fix a bug of Incorrect empty assistant content when disabling thinking mode</t>
  </si>
  <si>
    <t>bigscience/bloom-560m is a lightweight representative Bloom checkpoint used to reproduce the failure and validate the fix in CI because the model produce incorrect/repetitive outputs diverge from upstream HF</t>
  </si>
  <si>
    <t>C67</t>
  </si>
  <si>
    <t>Model output mismatch between downstream implementation and upstream HF</t>
  </si>
  <si>
    <t>Need for base model to train another model</t>
  </si>
  <si>
    <t>C68</t>
  </si>
  <si>
    <t>Incompatibility between Transformers remote-code models and their model loading logic</t>
  </si>
  <si>
    <t>C69</t>
  </si>
  <si>
    <t>Update of Transformers' config rules</t>
  </si>
  <si>
    <t>Replaced a test model with a compliant MobileBERT model for Transformers tests.</t>
  </si>
  <si>
    <t>C70</t>
  </si>
  <si>
    <t>New version of Transformers library</t>
  </si>
  <si>
    <t>C71</t>
  </si>
  <si>
    <t>Introduction of Pytorch's stricter checks when loading models with torch.load</t>
  </si>
  <si>
    <t>C72</t>
  </si>
  <si>
    <t>Lack of model namespace's uniformity</t>
  </si>
  <si>
    <t>Enable facial manipulation detection</t>
  </si>
  <si>
    <t>Code Count</t>
  </si>
  <si>
    <t>Doc Count</t>
  </si>
  <si>
    <t>M5</t>
  </si>
  <si>
    <t>Model Change Count</t>
  </si>
  <si>
    <t>NormModels</t>
  </si>
  <si>
    <t>SeqKey</t>
  </si>
  <si>
    <t>FirstOccur</t>
  </si>
  <si>
    <t>Enable lightweight test cases for tokenizer behavior correctness validation</t>
  </si>
  <si>
    <t>Enable lightweight test cases for multilingual tokenization coverage</t>
  </si>
  <si>
    <t>Regression testing for their functionality behaviors</t>
  </si>
  <si>
    <t>M17</t>
  </si>
  <si>
    <t>Lack of testing for data pipeline capability</t>
  </si>
  <si>
    <t>Lack of representation learning and encoding capability</t>
  </si>
  <si>
    <t>M18</t>
  </si>
  <si>
    <t>Lack of modality-specific feature extraction capability</t>
  </si>
  <si>
    <t>CodeEventKey</t>
  </si>
  <si>
    <t>FirstOccur_Code</t>
  </si>
  <si>
    <t>Need for hardware acceleration and inference speed</t>
  </si>
  <si>
    <t>M19</t>
  </si>
  <si>
    <t>Resource and performance pressure</t>
  </si>
  <si>
    <t>Data pipeline capability gaps</t>
  </si>
  <si>
    <t>New functionality expansion</t>
  </si>
  <si>
    <t>Add Count</t>
  </si>
  <si>
    <t>Remove Count</t>
  </si>
  <si>
    <t>Migrate Count</t>
  </si>
  <si>
    <t>Migrate</t>
  </si>
  <si>
    <t xml:space="preserve"> </t>
  </si>
  <si>
    <t>Percent</t>
  </si>
  <si>
    <t>Total Model Change</t>
  </si>
  <si>
    <t>Documented Model Change</t>
  </si>
  <si>
    <t>Total Document</t>
  </si>
  <si>
    <t>Total Addition</t>
  </si>
  <si>
    <t>Total Removal</t>
  </si>
  <si>
    <t>Total Migration</t>
  </si>
  <si>
    <t>Documented Addition</t>
  </si>
  <si>
    <t>Documented Removal</t>
  </si>
  <si>
    <t>Documented Migration</t>
  </si>
  <si>
    <t>Percent by Type</t>
  </si>
  <si>
    <t>Doc Coverage per Type</t>
  </si>
  <si>
    <t>Commit with Document</t>
  </si>
  <si>
    <t>Pull Request with Document</t>
  </si>
  <si>
    <t>Release Note with Document</t>
  </si>
  <si>
    <t>Other MD with Document</t>
  </si>
  <si>
    <t>Issue with Document</t>
  </si>
  <si>
    <t>Code Comment with Document</t>
  </si>
  <si>
    <t>Percent by Doc Type</t>
  </si>
  <si>
    <t>['mistralai/mistral-7b-instruct-v0.1']</t>
  </si>
  <si>
    <t>['mistralai/mistral-7b-instruct']</t>
  </si>
  <si>
    <t>Add models to initializes the language model for generating synonyms based on a given prompt text.</t>
  </si>
  <si>
    <t>Add a model as tokenizer to support prompt generation.</t>
  </si>
  <si>
    <t>['followumesh/granite-3b-lora8-bias']</t>
  </si>
  <si>
    <t>[CI/Build] Delete LoRA bias test</t>
  </si>
  <si>
    <t>Remove a model because there are some issues with the LoRA bias implementation, see slack lora thread. Temporarily removing this test to reduce CI testing pressure.</t>
  </si>
  <si>
    <t>Reduce CI testing pressure due to functionality issue</t>
  </si>
  <si>
    <t>C64</t>
  </si>
  <si>
    <t>Test execution cost and pressure</t>
  </si>
  <si>
    <t>Add acceptance tests that compare BERT-style encoder outputs against Hugging Face BERT</t>
  </si>
  <si>
    <t>Add dpt midas and upernet for Text-guided Image Generation</t>
  </si>
  <si>
    <t>New upstream usage policy and access constraints</t>
  </si>
  <si>
    <t>Total Documentation</t>
  </si>
  <si>
    <t>Add whisper model to support AutoCaption Feature</t>
  </si>
  <si>
    <t>Add whisper for supporting AutoCaption functionality</t>
  </si>
  <si>
    <t>Added speecht5_tt5 model for TTS optimized for Xeon and HPU (hardware-specific speech components.)</t>
  </si>
  <si>
    <t>Add new BERT model to test (training a model with custom parameter and df) the newly added Trainer-based training pipeline (new functionality). https://github.com/neuml/txtai/issues/96</t>
  </si>
  <si>
    <t>Storage requirement and runtime dependency overhead</t>
  </si>
  <si>
    <t>Address user-requested model support for LoRA feature</t>
  </si>
  <si>
    <t>C65</t>
  </si>
  <si>
    <t>User demand for a new upstream model to be supported in an deployment framework</t>
  </si>
  <si>
    <t>Request from user to support for integrating the DeepSeek-VL2 model to their deployment feature</t>
  </si>
  <si>
    <t>Added model to address a requested feature extension from user for their deployment framework feature</t>
  </si>
  <si>
    <t>Deprecated models unsupported in functionality</t>
  </si>
  <si>
    <t>Model deprecation and functionality retirement decisions</t>
  </si>
  <si>
    <t>Upstream model and dependency update</t>
  </si>
  <si>
    <t>Inconsistent or poor model output quality</t>
  </si>
  <si>
    <t>General text tokenization support</t>
  </si>
  <si>
    <t>Enable tokenizer for reward model or stepwise supervision</t>
  </si>
  <si>
    <t>C73</t>
  </si>
  <si>
    <t>Enable tokenizer for prompt generation</t>
  </si>
  <si>
    <t>Enable synthetic text and synonym generation based on a given prompt text</t>
  </si>
  <si>
    <t>Enable sentiment analysis and NER functionality</t>
  </si>
  <si>
    <t>Total</t>
  </si>
  <si>
    <t>Insufficient model evaluation and testing safeguards</t>
  </si>
  <si>
    <t>Sub-theme</t>
  </si>
  <si>
    <t>User-requested model or feature support</t>
  </si>
  <si>
    <t>Sub-Theme</t>
  </si>
  <si>
    <t>Sub-theme Count</t>
  </si>
  <si>
    <t>SubthemeEventKey</t>
  </si>
  <si>
    <t>FirstOccur_Subtheme</t>
  </si>
  <si>
    <t>DocCodeKey</t>
  </si>
  <si>
    <t>FirstOccur_Doc</t>
  </si>
  <si>
    <t>DocThemeKey</t>
  </si>
  <si>
    <t>FirstOccur_Theme</t>
  </si>
  <si>
    <t>DocSubthemeKey</t>
  </si>
  <si>
    <t>Replace mt5 models with small t5 models pre-trained on Japanese corpora in seq2seq module.</t>
  </si>
  <si>
    <t>Upstream- and lifecycle-driven changes</t>
  </si>
  <si>
    <t>Lack of lightweight, model-based functional testing</t>
  </si>
  <si>
    <t>Lack of Input preprocessing capability</t>
  </si>
  <si>
    <t>Theme Count</t>
  </si>
  <si>
    <t>Frequency</t>
  </si>
  <si>
    <t>Source Library</t>
  </si>
  <si>
    <t>Not Maintained/Outdated</t>
  </si>
  <si>
    <t xml:space="preserve">
Security Vulnerability</t>
  </si>
  <si>
    <t>Bug/Other Issue</t>
  </si>
  <si>
    <t>Target Library</t>
  </si>
  <si>
    <t xml:space="preserve">Usability
</t>
  </si>
  <si>
    <t xml:space="preserve">Feature
</t>
  </si>
  <si>
    <t xml:space="preserve">Performance
</t>
  </si>
  <si>
    <t xml:space="preserve">Size/Complexity
</t>
  </si>
  <si>
    <t xml:space="preserve">Popularity
</t>
  </si>
  <si>
    <t xml:space="preserve">Stability/Maturity
</t>
  </si>
  <si>
    <t>Activity</t>
  </si>
  <si>
    <t>Project Specific</t>
  </si>
  <si>
    <t>Integration</t>
  </si>
  <si>
    <t>License</t>
  </si>
  <si>
    <t>Simplification</t>
  </si>
  <si>
    <t>Organization Influence</t>
  </si>
  <si>
    <t>Conﬁguration</t>
  </si>
  <si>
    <t>Feature</t>
  </si>
  <si>
    <t>Performance</t>
  </si>
  <si>
    <t>Environment</t>
  </si>
  <si>
    <t>Bug</t>
  </si>
  <si>
    <t>Flexibility</t>
  </si>
  <si>
    <t>Performance improvement</t>
  </si>
  <si>
    <t>Code maintenance</t>
  </si>
  <si>
    <t>Functionality</t>
  </si>
  <si>
    <t>Dependency</t>
  </si>
  <si>
    <t>Easier syntax</t>
  </si>
  <si>
    <t>Interoperability</t>
  </si>
  <si>
    <t>Easier maintenance</t>
  </si>
  <si>
    <t>Fixture flexibility/reuse</t>
  </si>
  <si>
    <t>Built-in features</t>
  </si>
  <si>
    <t>Popularity</t>
  </si>
  <si>
    <t>Cleaner reports</t>
  </si>
  <si>
    <t>Parametrized tests</t>
  </si>
  <si>
    <t>Plugin integration</t>
  </si>
  <si>
    <t>Implicit mechanics</t>
  </si>
  <si>
    <t>New tool to learn</t>
  </si>
  <si>
    <t>Multiple test styles</t>
  </si>
  <si>
    <t>Migration duration</t>
  </si>
  <si>
    <t>Advantages</t>
  </si>
  <si>
    <t>Disadvantages</t>
  </si>
  <si>
    <t>Performance of the dependency</t>
  </si>
  <si>
    <t xml:space="preserve">Function replacement </t>
  </si>
  <si>
    <t xml:space="preserve">Dependency replacement </t>
  </si>
  <si>
    <t xml:space="preserve">Minimize the dependency </t>
  </si>
  <si>
    <t>Removing unused dependency</t>
  </si>
  <si>
    <t>E1</t>
  </si>
  <si>
    <t>E2</t>
  </si>
  <si>
    <t>E3</t>
  </si>
  <si>
    <t>E4</t>
  </si>
  <si>
    <t>E5</t>
  </si>
  <si>
    <t>D1</t>
  </si>
  <si>
    <t>D2</t>
  </si>
  <si>
    <t>D3</t>
  </si>
  <si>
    <t>D4</t>
  </si>
  <si>
    <t>D5</t>
  </si>
  <si>
    <t>D6</t>
  </si>
  <si>
    <t>D7</t>
  </si>
  <si>
    <t>D8</t>
  </si>
  <si>
    <t>D9</t>
  </si>
  <si>
    <t>D10</t>
  </si>
  <si>
    <t>D11</t>
  </si>
  <si>
    <t>D12</t>
  </si>
  <si>
    <t>D13</t>
  </si>
  <si>
    <t>B1</t>
  </si>
  <si>
    <t>B2</t>
  </si>
  <si>
    <t>B3</t>
  </si>
  <si>
    <t>B4</t>
  </si>
  <si>
    <t>B5</t>
  </si>
  <si>
    <t>A1</t>
  </si>
  <si>
    <t>A2</t>
  </si>
  <si>
    <t>A3</t>
  </si>
  <si>
    <t>A4</t>
  </si>
  <si>
    <t>A5</t>
  </si>
  <si>
    <t>A6</t>
  </si>
  <si>
    <t>A7</t>
  </si>
  <si>
    <t>A8</t>
  </si>
  <si>
    <t>A9</t>
  </si>
  <si>
    <t>A10</t>
  </si>
  <si>
    <t>A11</t>
  </si>
  <si>
    <t>A12</t>
  </si>
  <si>
    <t>A13</t>
  </si>
  <si>
    <t>A14</t>
  </si>
  <si>
    <t xml:space="preserve"> Storage requirement and runtime dependency overhead</t>
  </si>
  <si>
    <t>Description</t>
  </si>
  <si>
    <t xml:space="preserve">The migration happens because the source library is old and/or lacks maintenance, and the project decides to use the library that is currently recommended and supported by the community. It is the most common reason in source libraries for both rename rules and other rules. </t>
  </si>
  <si>
    <t>The migration happens because of bugs, warnings, crashes, inconsistencies, unwanted features or other peculiar issues.</t>
  </si>
  <si>
    <t>The migration happens because of security vulnerabilities in the source library, and also mostly because the source library does not provide any security fixes.</t>
  </si>
  <si>
    <t xml:space="preserve">The most frequently mentioned reason in target library is that the target library is easy to use, has nice APIs, results in cleaner code, cleaner configuration, or is flexible for end users to switch implementations on need, </t>
  </si>
  <si>
    <t xml:space="preserve">The target library has specific features that the source library cannot provide. </t>
  </si>
  <si>
    <t xml:space="preserve">Project needs to meet special functional requirements (e.g. latency, throughput, compile time, etc) that the existing library can- not satisfy. </t>
  </si>
  <si>
    <t>Some projects care about the binary size or simplicity of the library, mostly because they want their own binary to be as small as possible,</t>
  </si>
  <si>
    <t>The target library is stable or more robust.</t>
  </si>
  <si>
    <t>A few projects mentioned the community is more active in the target library</t>
  </si>
  <si>
    <t xml:space="preserve">The most common reason is the need to integrate the library with something else in the project to achieve specific goals, avoid issues, or ensure compatibility We identify three major
cases: 1) to integrate with other dependencies to achieve a specific goal, 2) to avoid conflicts / incompatibility with other dependencies or other project modules, 3) to be compatible with the required runtime environment, </t>
  </si>
  <si>
    <t xml:space="preserve">Some migrations happen to simplify library usage within project, achieve consistent style, or cleanup unnecessary dependencies, as a preventive measure to control project
complexity, remove technical debt, and possibly reduce maintenance effort in the future. </t>
  </si>
  <si>
    <t xml:space="preserve">For some projects and libraries, license compatibility stands out as the major reason for migration. </t>
  </si>
  <si>
    <t>Some projects remove a library because it is not approved by the belonging organization, or use a library as requested by the organization,</t>
  </si>
  <si>
    <t>Conﬁguration that is not related to the features but the conﬁguration of the
library e.g., üse commons-logging instead of slf4j to minimize dependencies’ or This removes all compile-time dependencies on log4j’ or Replace jackson by a json-simple in order to have a small library for Json usage</t>
  </si>
  <si>
    <t>It targets the core features of the libraries. E.g., The whole point of slf4j is to depend on the API only and let the user of the library choose which logging library to use</t>
  </si>
  <si>
    <t>örg.json was just way too slow</t>
  </si>
  <si>
    <t>Replaced json-lib with jackson. jackson is much more
ﬂexible and under active development</t>
  </si>
  <si>
    <t>json-lib contains some serious issues</t>
  </si>
  <si>
    <t>Newer libraries provide a library abstraction feature, which provides a skeletal structure, allowing developers to easily integrate other projects using different logging libraries without code changes.</t>
  </si>
  <si>
    <t>faster with minimal overhead.</t>
  </si>
  <si>
    <t>As a project matures, it may rely on several components from other projects for additional features. However, these different logging libraries can have different verbosity levels and logging formats.
To reduce
the cost incurred due to code maintenance, developers opt for migrating to newer libraries that have a unified logging format which is easy to configure and code, and produces cleaner looking</t>
  </si>
  <si>
    <t>Developers migrate to newer libraries to obtain very specific functionalities which are beneficial for their projects.</t>
  </si>
  <si>
    <t>Developers are forced to migrate logging library when a newer version of a package on which they depend on moves to a different library.</t>
  </si>
  <si>
    <t>The dependency is too heavy, the maintainer of dependents library need to remove this dependency.</t>
  </si>
  <si>
    <t>Replace the dependency's function with built-ins function or custom function</t>
  </si>
  <si>
    <t>Replace the dependency with another dependency</t>
  </si>
  <si>
    <t>The dependency is too heavy, the maintainer of dependency prefer to split some features of the dependency to independent library.</t>
  </si>
  <si>
    <t>Remove unnecessary or unused dependency</t>
  </si>
  <si>
    <t>Latex ID</t>
  </si>
  <si>
    <t>Discussions related to licensing changes or legal issues. E.g., "It seems that they've introduced a new dependency on the Java Advanced Imaging API (JAI). The problem is that JAI imposes certain constraints on redistribution".</t>
  </si>
  <si>
    <t>F1</t>
  </si>
  <si>
    <t>F2</t>
  </si>
  <si>
    <t>F3</t>
  </si>
  <si>
    <t>F4</t>
  </si>
  <si>
    <t>F5</t>
  </si>
  <si>
    <t>The discussion is about changes needed to fix a dependency or addressing bugs in the used library. E.g., "MINA 2.0.2... causing a bug in SSHD. The solution has been the simple upgrade to MINA 2.0.4, fixing the reported issue".</t>
  </si>
  <si>
    <t>The discussion is about avoiding changes that could break the dependency. E.g., "I recently tried to upgrade to 1.2.12 and found that there were some incompatibilities with my config file... For that reason, I'm currently using 1.2.11".</t>
  </si>
  <si>
    <t>The new release includes new features. Developers are motivated to update when there are substantial additions: "Client projects tend to upgrade their dependencies when substantial changes in the projects they depend on are released".</t>
  </si>
  <si>
    <t>The discussion is focused on whether upgrading/not upgrading a dependencies toward a new available release. E.g., "I have gone through the libraries Torque depends on and seen if there is a newer version available. Those are the updates I would suggest...".</t>
  </si>
  <si>
    <r>
      <t>Bug Fixing (</t>
    </r>
    <r>
      <rPr>
        <sz val="12"/>
        <color theme="1"/>
        <rFont val="Arial Unicode MS"/>
        <family val="2"/>
      </rPr>
      <t>fix</t>
    </r>
    <r>
      <rPr>
        <sz val="12"/>
        <color theme="1"/>
        <rFont val="Calibri"/>
        <family val="2"/>
        <scheme val="minor"/>
      </rPr>
      <t>)</t>
    </r>
  </si>
  <si>
    <r>
      <t>Avoiding Breaks (</t>
    </r>
    <r>
      <rPr>
        <sz val="12"/>
        <color theme="1"/>
        <rFont val="Arial Unicode MS"/>
        <family val="2"/>
      </rPr>
      <t>break</t>
    </r>
    <r>
      <rPr>
        <sz val="12"/>
        <color theme="1"/>
        <rFont val="Calibri"/>
        <family val="2"/>
        <scheme val="minor"/>
      </rPr>
      <t>)</t>
    </r>
  </si>
  <si>
    <r>
      <t>Major Features (</t>
    </r>
    <r>
      <rPr>
        <sz val="12"/>
        <color theme="1"/>
        <rFont val="Arial Unicode MS"/>
        <family val="2"/>
      </rPr>
      <t>major</t>
    </r>
    <r>
      <rPr>
        <sz val="12"/>
        <color theme="1"/>
        <rFont val="Calibri"/>
        <family val="2"/>
        <scheme val="minor"/>
      </rPr>
      <t>)</t>
    </r>
  </si>
  <si>
    <r>
      <t>Upgrade Assessment (</t>
    </r>
    <r>
      <rPr>
        <sz val="12"/>
        <color theme="1"/>
        <rFont val="Arial Unicode MS"/>
        <family val="2"/>
      </rPr>
      <t>upgrade</t>
    </r>
    <r>
      <rPr>
        <sz val="12"/>
        <color theme="1"/>
        <rFont val="Calibri"/>
        <family val="2"/>
        <scheme val="minor"/>
      </rPr>
      <t>)</t>
    </r>
  </si>
  <si>
    <r>
      <t>Legal &amp; Licensing (</t>
    </r>
    <r>
      <rPr>
        <sz val="12"/>
        <color theme="1"/>
        <rFont val="Arial Unicode MS"/>
        <family val="2"/>
      </rPr>
      <t>other</t>
    </r>
    <r>
      <rPr>
        <sz val="12"/>
        <color theme="1"/>
        <rFont val="Calibri"/>
        <family val="2"/>
        <scheme val="minor"/>
      </rPr>
      <t>)</t>
    </r>
  </si>
  <si>
    <t>Need to add or extend NLP capabilities (e.g., extraction, classification, generation, speech/text processing)</t>
  </si>
  <si>
    <t>Lack of adequate tokenization or input preprocessing for handling text or prompts</t>
  </si>
  <si>
    <t>Need to add or extend computer vision capabilities for image processing or generation</t>
  </si>
  <si>
    <t>Changes required due to upstream model or dependency updates and evolving framework requirements</t>
  </si>
  <si>
    <t>Incompatibilities between models and upstream dependencies (e.g., frameworks, architectures, interfaces)</t>
  </si>
  <si>
    <t>Restrictions from upstream policies (e.g., licensing, access control, or usage constraints)</t>
  </si>
  <si>
    <t>Lack of evaluation or benchmarking mechanisms to validate model behavior</t>
  </si>
  <si>
    <t>Performance limitations requiring improved hardware acceleration or faster inference</t>
  </si>
  <si>
    <t>Insufficient representation learning or encoding capability</t>
  </si>
  <si>
    <t>High computational cost or resource pressure during test execution</t>
  </si>
  <si>
    <t>User demand for new model support or features</t>
  </si>
  <si>
    <t>Need to support model development, training, or optimization workflows</t>
  </si>
  <si>
    <t>High storage requirements or excessive runtime dependency overhead impacting system efficiency</t>
  </si>
  <si>
    <t>Lack of efficient or lightweight testing mechanisms to validate model functionality without high overhead</t>
  </si>
  <si>
    <t>Need to support specialized or domain-specific tasks not covered by existing models</t>
  </si>
  <si>
    <t>Presence of redundant or overlapping test cases that provide limited additional validation value</t>
  </si>
  <si>
    <t>Lack of validation for data preprocessing or pipeline stages that affect model inputs and outputs</t>
  </si>
  <si>
    <t>Insufficient capability to extract features from specific data modalities (e.g., text, image, video)</t>
  </si>
  <si>
    <t>Model outputs that are unreliable, inconsistent, or do not meet expected quality standards</t>
  </si>
  <si>
    <t>Changes driven by upstream model deprecation or decisions to retire outdated or unsupported functionality</t>
  </si>
  <si>
    <t>Need to introduce new capabilities or extend existing functionality to support additional tasks, features, or user requirements</t>
  </si>
  <si>
    <t>Limitations in data preprocessing, representation, or feature extraction that prevent effective handling of inputs or modalities</t>
  </si>
  <si>
    <t>Lack of adequate evaluation, validation, or testing mechanisms to ensure model correctness, reliability, and quality</t>
  </si>
  <si>
    <t>Changes triggered by upstream evolution, including updates, incompatibilities, policy constraints, or model deprecation</t>
  </si>
  <si>
    <t>Performance bottlenecks or resource constraints (e.g., computation, storage, runtime overhead) impacting system efficiency</t>
  </si>
  <si>
    <t>Model Change with Rationale</t>
  </si>
  <si>
    <t>Document with Rationale</t>
  </si>
  <si>
    <t>Rationale Coverage per Type</t>
  </si>
  <si>
    <t>Rationale Coverage per Documented Type</t>
  </si>
  <si>
    <t>Addition with Rationale</t>
  </si>
  <si>
    <t>Removal with Rationale</t>
  </si>
  <si>
    <t>Migration with Rationale</t>
  </si>
  <si>
    <t>Rationale Coverage per Doc Type</t>
  </si>
  <si>
    <t>Commit with Rationale</t>
  </si>
  <si>
    <t>Pull Request with Rationale</t>
  </si>
  <si>
    <t>Release Note with Rationale</t>
  </si>
  <si>
    <t>Other MD with Rationale</t>
  </si>
  <si>
    <t>Issue with Rationale</t>
  </si>
  <si>
    <t>Code Comment with Rationale</t>
  </si>
  <si>
    <t>discussed in prior</t>
  </si>
  <si>
    <t>partially discussed in prior</t>
  </si>
  <si>
    <t>discussed in our libs</t>
  </si>
  <si>
    <t>partially discussed in our libs</t>
  </si>
  <si>
    <t>Insufficient PTM evaluation and testing safeguards</t>
  </si>
  <si>
    <t>PTM deprecation and functionality retirement decisions</t>
  </si>
  <si>
    <t>Lack of lightweight, PTM-based functional testing</t>
  </si>
  <si>
    <t>Need for PTM development and optimization functionality</t>
  </si>
  <si>
    <t>User-requested PTM or feature support</t>
  </si>
  <si>
    <t>Lack of PTM evaluation or benchmark</t>
  </si>
  <si>
    <t>Inconsistent or poor PTM output quality</t>
  </si>
  <si>
    <t>Upstream PTM and dependency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</si>
</sst>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u/>
      <sz val="11"/>
      <color theme="10"/>
      <name val="Calibri"/>
      <family val="2"/>
      <scheme val="minor"/>
    </font>
    <font>
      <sz val="11"/>
      <color rgb="FF000000"/>
      <name val="Calibri"/>
      <family val="2"/>
      <scheme val="minor"/>
    </font>
    <font>
      <b/>
      <sz val="11"/>
      <color theme="1"/>
      <name val="Calibri"/>
      <family val="2"/>
      <scheme val="minor"/>
    </font>
    <font>
      <b/>
      <sz val="11"/>
      <color rgb="FF000000"/>
      <name val="Calibri"/>
      <family val="2"/>
      <scheme val="minor"/>
    </font>
    <font>
      <sz val="8"/>
      <name val="Calibri"/>
      <family val="2"/>
      <scheme val="minor"/>
    </font>
    <font>
      <b/>
      <sz val="12"/>
      <color theme="1"/>
      <name val="Calibri"/>
      <family val="2"/>
      <scheme val="minor"/>
    </font>
    <font>
      <sz val="12"/>
      <color theme="1"/>
      <name val="Arial Unicode MS"/>
      <family val="2"/>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3" fillId="0" borderId="1" xfId="0" applyFont="1" applyBorder="1" applyAlignment="1">
      <alignment horizontal="center" vertical="top"/>
    </xf>
    <xf numFmtId="0" fontId="0" fillId="0" borderId="0" xfId="0" applyAlignment="1">
      <alignment wrapText="1"/>
    </xf>
    <xf numFmtId="0" fontId="5" fillId="0" borderId="0" xfId="0" applyFont="1"/>
    <xf numFmtId="0" fontId="4" fillId="0" borderId="0" xfId="1"/>
    <xf numFmtId="0" fontId="5" fillId="0" borderId="0" xfId="0" applyFont="1" applyAlignment="1">
      <alignment wrapText="1"/>
    </xf>
    <xf numFmtId="164" fontId="0" fillId="0" borderId="0" xfId="0" applyNumberFormat="1"/>
    <xf numFmtId="0" fontId="6" fillId="0" borderId="0" xfId="0" applyFont="1"/>
    <xf numFmtId="0" fontId="6" fillId="0" borderId="1" xfId="0" applyFont="1" applyBorder="1" applyAlignment="1">
      <alignment horizontal="center"/>
    </xf>
    <xf numFmtId="0" fontId="3" fillId="0" borderId="2" xfId="0" applyFont="1" applyBorder="1" applyAlignment="1">
      <alignment horizontal="center" vertical="top"/>
    </xf>
    <xf numFmtId="0" fontId="7" fillId="0" borderId="1" xfId="0" applyFont="1" applyBorder="1" applyAlignment="1">
      <alignment horizontal="center"/>
    </xf>
    <xf numFmtId="0" fontId="7" fillId="0" borderId="3" xfId="0" applyFont="1" applyBorder="1" applyAlignment="1">
      <alignment horizontal="center"/>
    </xf>
    <xf numFmtId="0" fontId="6" fillId="0" borderId="4" xfId="0" applyFont="1" applyBorder="1" applyAlignment="1">
      <alignment horizontal="center"/>
    </xf>
    <xf numFmtId="0" fontId="0" fillId="0" borderId="5" xfId="0" applyBorder="1"/>
    <xf numFmtId="0" fontId="5" fillId="0" borderId="5" xfId="0" applyFont="1" applyBorder="1"/>
    <xf numFmtId="0" fontId="0" fillId="0" borderId="5" xfId="0" applyBorder="1" applyAlignment="1">
      <alignment wrapText="1"/>
    </xf>
    <xf numFmtId="0" fontId="6" fillId="0" borderId="0" xfId="0" applyFont="1" applyAlignment="1">
      <alignment horizontal="center" vertical="center"/>
    </xf>
    <xf numFmtId="0" fontId="9" fillId="0" borderId="0" xfId="0" applyFont="1"/>
    <xf numFmtId="0" fontId="2" fillId="0" borderId="0" xfId="0" applyFont="1"/>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xf>
    <xf numFmtId="0" fontId="0" fillId="0" borderId="0" xfId="0">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C8FAC-2508-AD48-92CA-C2C9F9C19D2F}">
  <dimension ref="A1:N26"/>
  <sheetViews>
    <sheetView zoomScale="120" zoomScaleNormal="120" workbookViewId="0">
      <selection activeCell="E26" sqref="E26"/>
    </sheetView>
  </sheetViews>
  <sheetFormatPr baseColWidth="10" defaultRowHeight="15" x14ac:dyDescent="0.2"/>
  <cols>
    <col min="1" max="1" width="25.33203125" bestFit="1" customWidth="1"/>
    <col min="2" max="2" width="23.83203125" bestFit="1" customWidth="1"/>
    <col min="4" max="4" width="6.83203125" customWidth="1"/>
    <col min="5" max="5" width="24.5" bestFit="1" customWidth="1"/>
    <col min="6" max="6" width="5.83203125" bestFit="1" customWidth="1"/>
    <col min="7" max="7" width="16.5" bestFit="1" customWidth="1"/>
    <col min="8" max="8" width="23.83203125" bestFit="1" customWidth="1"/>
    <col min="9" max="9" width="6.5" customWidth="1"/>
    <col min="10" max="10" width="21.5" bestFit="1" customWidth="1"/>
    <col min="12" max="12" width="13" bestFit="1" customWidth="1"/>
    <col min="13" max="13" width="23.33203125" bestFit="1" customWidth="1"/>
    <col min="14" max="14" width="34.1640625" bestFit="1" customWidth="1"/>
  </cols>
  <sheetData>
    <row r="1" spans="1:14" x14ac:dyDescent="0.2">
      <c r="B1" s="7" t="s">
        <v>375</v>
      </c>
      <c r="C1" s="7" t="s">
        <v>473</v>
      </c>
    </row>
    <row r="2" spans="1:14" x14ac:dyDescent="0.2">
      <c r="A2" s="7" t="s">
        <v>474</v>
      </c>
      <c r="B2">
        <v>1426</v>
      </c>
    </row>
    <row r="3" spans="1:14" x14ac:dyDescent="0.2">
      <c r="A3" s="7" t="s">
        <v>475</v>
      </c>
      <c r="B3">
        <v>541</v>
      </c>
      <c r="C3" s="6">
        <f>(B3/B2)*100</f>
        <v>37.938288920056102</v>
      </c>
    </row>
    <row r="4" spans="1:14" x14ac:dyDescent="0.2">
      <c r="A4" s="7" t="s">
        <v>700</v>
      </c>
      <c r="B4" cm="1">
        <f t="array" ref="B4">SUMPRODUCT(
  --('key information'!$J$2:$J$220=1),
  IFERROR(VALUE('key information'!$D$2:$D$220),0)
)</f>
        <v>328</v>
      </c>
      <c r="C4" s="6">
        <f>(B4/B2)*100</f>
        <v>23.001402524544179</v>
      </c>
    </row>
    <row r="5" spans="1:14" x14ac:dyDescent="0.2">
      <c r="A5" s="7"/>
      <c r="C5" s="6"/>
    </row>
    <row r="6" spans="1:14" x14ac:dyDescent="0.2">
      <c r="A6" s="7" t="s">
        <v>505</v>
      </c>
      <c r="B6">
        <v>417</v>
      </c>
      <c r="C6" s="6"/>
    </row>
    <row r="7" spans="1:14" x14ac:dyDescent="0.2">
      <c r="A7" s="7" t="s">
        <v>701</v>
      </c>
      <c r="B7">
        <f>COUNT(_xlfn.UNIQUE('key information'!A2:A220))</f>
        <v>209</v>
      </c>
      <c r="C7" s="6">
        <f>B7/B6*100</f>
        <v>50.119904076738607</v>
      </c>
    </row>
    <row r="8" spans="1:14" x14ac:dyDescent="0.2">
      <c r="C8" s="6"/>
    </row>
    <row r="9" spans="1:14" x14ac:dyDescent="0.2">
      <c r="A9" s="7" t="s">
        <v>446</v>
      </c>
      <c r="B9">
        <f>COUNTA(_xlfn.UNIQUE(codes!A2:A71))</f>
        <v>70</v>
      </c>
    </row>
    <row r="10" spans="1:14" x14ac:dyDescent="0.2">
      <c r="A10" s="7" t="s">
        <v>531</v>
      </c>
      <c r="B10">
        <f>COUNTA(_xlfn.UNIQUE('sub-themes'!A2:A21))</f>
        <v>20</v>
      </c>
    </row>
    <row r="11" spans="1:14" x14ac:dyDescent="0.2">
      <c r="A11" s="7" t="s">
        <v>543</v>
      </c>
      <c r="B11">
        <f>COUNTA(_xlfn.UNIQUE(themes!A2:A6))</f>
        <v>5</v>
      </c>
    </row>
    <row r="13" spans="1:14" x14ac:dyDescent="0.2">
      <c r="C13" s="6"/>
      <c r="F13" s="7" t="s">
        <v>375</v>
      </c>
      <c r="G13" s="7" t="s">
        <v>483</v>
      </c>
      <c r="H13" s="7" t="s">
        <v>484</v>
      </c>
      <c r="K13" s="7" t="s">
        <v>375</v>
      </c>
      <c r="L13" s="7" t="s">
        <v>483</v>
      </c>
      <c r="M13" s="7" t="s">
        <v>702</v>
      </c>
      <c r="N13" s="7" t="s">
        <v>703</v>
      </c>
    </row>
    <row r="14" spans="1:14" x14ac:dyDescent="0.2">
      <c r="A14" t="s">
        <v>474</v>
      </c>
      <c r="B14">
        <f>B2</f>
        <v>1426</v>
      </c>
      <c r="C14" s="6"/>
      <c r="E14" t="s">
        <v>475</v>
      </c>
      <c r="F14">
        <f>B3</f>
        <v>541</v>
      </c>
      <c r="J14" t="s">
        <v>700</v>
      </c>
      <c r="K14">
        <f>B4</f>
        <v>328</v>
      </c>
    </row>
    <row r="15" spans="1:14" x14ac:dyDescent="0.2">
      <c r="A15" t="s">
        <v>477</v>
      </c>
      <c r="B15">
        <v>1263</v>
      </c>
      <c r="C15" s="6">
        <f>(B15/$B$14)*100</f>
        <v>88.569424964936886</v>
      </c>
      <c r="E15" t="s">
        <v>480</v>
      </c>
      <c r="F15">
        <v>488</v>
      </c>
      <c r="G15" s="6">
        <f>(F15/$F$14)*100</f>
        <v>90.203327171903879</v>
      </c>
      <c r="H15" s="6">
        <f>F15/B15*100</f>
        <v>38.638163103721297</v>
      </c>
      <c r="J15" t="s">
        <v>704</v>
      </c>
      <c r="K15" cm="1">
        <f t="array" ref="K15">SUMPRODUCT(
  --('key information'!$J$2:$J$220=1),
  --('key information'!$F$2:$F$220="['add']"),
  IFERROR(VALUE('key information'!$D$2:$D$220),0)
)</f>
        <v>284</v>
      </c>
      <c r="L15" s="6">
        <f>K15/$K$14*100</f>
        <v>86.58536585365853</v>
      </c>
      <c r="M15" s="6">
        <f>K15/$B15*100</f>
        <v>22.486144101346</v>
      </c>
      <c r="N15" s="6">
        <f>K15/F15*100</f>
        <v>58.196721311475407</v>
      </c>
    </row>
    <row r="16" spans="1:14" x14ac:dyDescent="0.2">
      <c r="A16" t="s">
        <v>478</v>
      </c>
      <c r="B16">
        <v>119</v>
      </c>
      <c r="C16" s="6">
        <f>(B16/$B$14)*100</f>
        <v>8.3450210378681628</v>
      </c>
      <c r="E16" t="s">
        <v>481</v>
      </c>
      <c r="F16">
        <v>20</v>
      </c>
      <c r="G16" s="6">
        <f>(F16/$F$14)*100</f>
        <v>3.6968576709796674</v>
      </c>
      <c r="H16" s="6">
        <f t="shared" ref="H16:H17" si="0">F16/B16*100</f>
        <v>16.806722689075631</v>
      </c>
      <c r="J16" t="s">
        <v>705</v>
      </c>
      <c r="K16" cm="1">
        <f t="array" ref="K16">SUMPRODUCT(
  --('key information'!$J$2:$J$220=1),
  --('key information'!$F$2:$F$220="['remove']"),
  IFERROR(VALUE('key information'!$D$2:$D$220),0)
)</f>
        <v>15</v>
      </c>
      <c r="L16" s="6">
        <f>K16/$K$14*100</f>
        <v>4.5731707317073171</v>
      </c>
      <c r="M16" s="6">
        <f>K16/$B16*100</f>
        <v>12.605042016806722</v>
      </c>
      <c r="N16" s="6">
        <f t="shared" ref="N16:N17" si="1">K16/F16*100</f>
        <v>75</v>
      </c>
    </row>
    <row r="17" spans="1:14" x14ac:dyDescent="0.2">
      <c r="A17" t="s">
        <v>479</v>
      </c>
      <c r="B17">
        <v>44</v>
      </c>
      <c r="C17" s="6">
        <f>(B17/$B$14)*100</f>
        <v>3.0855539971949506</v>
      </c>
      <c r="E17" t="s">
        <v>482</v>
      </c>
      <c r="F17">
        <v>33</v>
      </c>
      <c r="G17" s="6">
        <f>(F17/$F$14)*100</f>
        <v>6.0998151571164509</v>
      </c>
      <c r="H17" s="6">
        <f t="shared" si="0"/>
        <v>75</v>
      </c>
      <c r="J17" t="s">
        <v>706</v>
      </c>
      <c r="K17" cm="1">
        <f t="array" ref="K17">SUMPRODUCT(
  --('key information'!$J$2:$J$220=1),
  --('key information'!$F$2:$F$220="['migrate']"),
  IFERROR(VALUE('key information'!$D$2:$D$220),0)
)</f>
        <v>29</v>
      </c>
      <c r="L17" s="6">
        <f>K17/$K$14*100</f>
        <v>8.8414634146341466</v>
      </c>
      <c r="M17" s="6">
        <f>K17/$B17*100</f>
        <v>65.909090909090907</v>
      </c>
      <c r="N17" s="6">
        <f t="shared" si="1"/>
        <v>87.878787878787875</v>
      </c>
    </row>
    <row r="18" spans="1:14" x14ac:dyDescent="0.2">
      <c r="C18" s="6"/>
    </row>
    <row r="19" spans="1:14" x14ac:dyDescent="0.2">
      <c r="C19" s="6"/>
      <c r="F19" s="7" t="s">
        <v>375</v>
      </c>
      <c r="G19" s="7" t="s">
        <v>491</v>
      </c>
      <c r="H19" s="7" t="s">
        <v>707</v>
      </c>
    </row>
    <row r="20" spans="1:14" x14ac:dyDescent="0.2">
      <c r="A20" t="s">
        <v>476</v>
      </c>
      <c r="B20">
        <f>B6</f>
        <v>417</v>
      </c>
      <c r="C20" s="6"/>
      <c r="E20" t="s">
        <v>701</v>
      </c>
      <c r="F20">
        <f>B7</f>
        <v>209</v>
      </c>
    </row>
    <row r="21" spans="1:14" x14ac:dyDescent="0.2">
      <c r="A21" t="s">
        <v>485</v>
      </c>
      <c r="B21">
        <v>172</v>
      </c>
      <c r="C21" s="6">
        <f t="shared" ref="C21:C26" si="2">B21/$B$20*100</f>
        <v>41.247002398081534</v>
      </c>
      <c r="E21" t="s">
        <v>708</v>
      </c>
      <c r="F21">
        <v>74</v>
      </c>
      <c r="G21" s="6">
        <f t="shared" ref="G21:G26" si="3">F21/$F$20*100</f>
        <v>35.406698564593306</v>
      </c>
      <c r="H21" s="6">
        <f>F21/B21*100</f>
        <v>43.02325581395349</v>
      </c>
    </row>
    <row r="22" spans="1:14" x14ac:dyDescent="0.2">
      <c r="A22" t="s">
        <v>486</v>
      </c>
      <c r="B22">
        <v>121</v>
      </c>
      <c r="C22" s="6">
        <f t="shared" si="2"/>
        <v>29.016786570743403</v>
      </c>
      <c r="E22" t="s">
        <v>709</v>
      </c>
      <c r="F22">
        <v>65</v>
      </c>
      <c r="G22" s="6">
        <f t="shared" si="3"/>
        <v>31.100478468899524</v>
      </c>
      <c r="H22" s="6">
        <f t="shared" ref="H22:H26" si="4">F22/B22*100</f>
        <v>53.719008264462808</v>
      </c>
    </row>
    <row r="23" spans="1:14" x14ac:dyDescent="0.2">
      <c r="A23" t="s">
        <v>487</v>
      </c>
      <c r="B23">
        <v>71</v>
      </c>
      <c r="C23" s="6">
        <f t="shared" si="2"/>
        <v>17.026378896882495</v>
      </c>
      <c r="E23" t="s">
        <v>710</v>
      </c>
      <c r="F23">
        <v>34</v>
      </c>
      <c r="G23" s="6">
        <f t="shared" si="3"/>
        <v>16.267942583732058</v>
      </c>
      <c r="H23" s="6">
        <f t="shared" si="4"/>
        <v>47.887323943661968</v>
      </c>
    </row>
    <row r="24" spans="1:14" x14ac:dyDescent="0.2">
      <c r="A24" t="s">
        <v>488</v>
      </c>
      <c r="B24">
        <v>19</v>
      </c>
      <c r="C24" s="6">
        <f t="shared" si="2"/>
        <v>4.5563549160671464</v>
      </c>
      <c r="E24" t="s">
        <v>711</v>
      </c>
      <c r="F24">
        <v>13</v>
      </c>
      <c r="G24" s="6">
        <f t="shared" si="3"/>
        <v>6.2200956937799043</v>
      </c>
      <c r="H24" s="6">
        <f t="shared" si="4"/>
        <v>68.421052631578945</v>
      </c>
    </row>
    <row r="25" spans="1:14" x14ac:dyDescent="0.2">
      <c r="A25" t="s">
        <v>489</v>
      </c>
      <c r="B25">
        <v>19</v>
      </c>
      <c r="C25" s="6">
        <f t="shared" si="2"/>
        <v>4.5563549160671464</v>
      </c>
      <c r="E25" t="s">
        <v>712</v>
      </c>
      <c r="F25">
        <v>12</v>
      </c>
      <c r="G25" s="6">
        <f t="shared" si="3"/>
        <v>5.741626794258373</v>
      </c>
      <c r="H25" s="6">
        <f t="shared" si="4"/>
        <v>63.157894736842103</v>
      </c>
    </row>
    <row r="26" spans="1:14" x14ac:dyDescent="0.2">
      <c r="A26" t="s">
        <v>490</v>
      </c>
      <c r="B26">
        <v>15</v>
      </c>
      <c r="C26" s="6">
        <f t="shared" si="2"/>
        <v>3.5971223021582732</v>
      </c>
      <c r="E26" t="s">
        <v>713</v>
      </c>
      <c r="F26">
        <v>11</v>
      </c>
      <c r="G26" s="6">
        <f t="shared" si="3"/>
        <v>5.2631578947368416</v>
      </c>
      <c r="H26" s="6">
        <f t="shared" si="4"/>
        <v>73.333333333333329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CDB6B-7AA9-9D49-85D0-31F51C09EEDA}">
  <dimension ref="A1:Z222"/>
  <sheetViews>
    <sheetView zoomScale="120" zoomScaleNormal="120" workbookViewId="0">
      <selection activeCell="W12" sqref="W12"/>
    </sheetView>
  </sheetViews>
  <sheetFormatPr baseColWidth="10" defaultRowHeight="15" x14ac:dyDescent="0.2"/>
  <cols>
    <col min="7" max="7" width="9.33203125" customWidth="1"/>
    <col min="8" max="8" width="9" hidden="1" customWidth="1"/>
    <col min="9" max="9" width="11.1640625" hidden="1" customWidth="1"/>
    <col min="10" max="10" width="8.83203125" hidden="1" customWidth="1"/>
    <col min="11" max="11" width="7" hidden="1" customWidth="1"/>
    <col min="12" max="12" width="9.5" hidden="1" customWidth="1"/>
    <col min="13" max="13" width="8.5" hidden="1" customWidth="1"/>
    <col min="14" max="14" width="9.83203125" hidden="1" customWidth="1"/>
    <col min="15" max="15" width="7.83203125" hidden="1" customWidth="1"/>
    <col min="16" max="22" width="8.1640625" hidden="1" customWidth="1"/>
    <col min="23" max="23" width="82.5" customWidth="1"/>
  </cols>
  <sheetData>
    <row r="1" spans="1:26" x14ac:dyDescent="0.2">
      <c r="A1" s="1" t="s">
        <v>421</v>
      </c>
      <c r="B1" s="1" t="s">
        <v>0</v>
      </c>
      <c r="C1" s="1" t="s">
        <v>1</v>
      </c>
      <c r="D1" s="1" t="s">
        <v>5</v>
      </c>
      <c r="E1" s="1" t="s">
        <v>6</v>
      </c>
      <c r="F1" s="1" t="s">
        <v>2</v>
      </c>
      <c r="G1" s="1" t="s">
        <v>3</v>
      </c>
      <c r="H1" s="1" t="s">
        <v>450</v>
      </c>
      <c r="I1" s="1" t="s">
        <v>451</v>
      </c>
      <c r="J1" s="1" t="s">
        <v>452</v>
      </c>
      <c r="K1" s="1" t="s">
        <v>461</v>
      </c>
      <c r="L1" s="1" t="s">
        <v>462</v>
      </c>
      <c r="M1" s="1" t="s">
        <v>532</v>
      </c>
      <c r="N1" s="1" t="s">
        <v>533</v>
      </c>
      <c r="O1" s="1" t="s">
        <v>532</v>
      </c>
      <c r="P1" s="1" t="s">
        <v>533</v>
      </c>
      <c r="Q1" s="1" t="s">
        <v>534</v>
      </c>
      <c r="R1" s="1" t="s">
        <v>535</v>
      </c>
      <c r="S1" s="1" t="s">
        <v>538</v>
      </c>
      <c r="T1" s="1" t="s">
        <v>533</v>
      </c>
      <c r="U1" s="1" t="s">
        <v>536</v>
      </c>
      <c r="V1" s="1" t="s">
        <v>537</v>
      </c>
      <c r="W1" s="1" t="s">
        <v>4</v>
      </c>
      <c r="X1" s="1" t="s">
        <v>277</v>
      </c>
      <c r="Y1" s="9" t="s">
        <v>530</v>
      </c>
      <c r="Z1" s="9" t="s">
        <v>279</v>
      </c>
    </row>
    <row r="2" spans="1:26" x14ac:dyDescent="0.2">
      <c r="A2">
        <v>1</v>
      </c>
      <c r="B2">
        <v>5</v>
      </c>
      <c r="C2" t="s">
        <v>7</v>
      </c>
      <c r="D2">
        <v>2</v>
      </c>
      <c r="E2">
        <v>1</v>
      </c>
      <c r="F2" t="s">
        <v>8</v>
      </c>
      <c r="G2" t="s">
        <v>9</v>
      </c>
      <c r="H2" t="str">
        <f>SUBSTITUTE(SUBSTITUTE(SUBSTITUTE(SUBSTITUTE(G2,"[",""),"]",""),"'",""),", ","|")</f>
        <v>snowflake/snowflake-arctic-embed-m-long</v>
      </c>
      <c r="I2" t="str">
        <f t="shared" ref="I2:I33" si="0">B2 &amp; "||" &amp; F2 &amp; "||" &amp; H2</f>
        <v>5||['add']||snowflake/snowflake-arctic-embed-m-long</v>
      </c>
      <c r="J2">
        <f>IF(COUNTIF($I$2:I2, I2)=1, 1, 0)</f>
        <v>1</v>
      </c>
      <c r="K2" t="str">
        <f t="shared" ref="K2:K65" si="1">I2 &amp; "||" &amp; X2</f>
        <v>5||['add']||snowflake/snowflake-arctic-embed-m-long||C1</v>
      </c>
      <c r="L2">
        <f>IF(COUNTIF($K$2:K2, K2)=1, 1, 0)</f>
        <v>1</v>
      </c>
      <c r="M2" t="str">
        <f>I2 &amp; "||" &amp; Y2</f>
        <v>5||['add']||snowflake/snowflake-arctic-embed-m-long||M13</v>
      </c>
      <c r="N2">
        <f>IF(COUNTIF($M$2:M2, M2)=1, 1, 0)</f>
        <v>1</v>
      </c>
      <c r="O2" t="str">
        <f>I2 &amp; "||" &amp; Z2</f>
        <v>5||['add']||snowflake/snowflake-arctic-embed-m-long||T1</v>
      </c>
      <c r="P2">
        <f>IF(COUNTIF($O$2:O2, O2)=1, 1, 0)</f>
        <v>1</v>
      </c>
      <c r="Q2" t="str">
        <f t="shared" ref="Q2:Q65" si="2">A2&amp; "||" &amp; X2</f>
        <v>1||C1</v>
      </c>
      <c r="R2">
        <f>IF(COUNTIF($Q$2:Q2, Q2)=1, 1, 0)</f>
        <v>1</v>
      </c>
      <c r="S2" t="str">
        <f t="shared" ref="S2:S65" si="3">A2&amp; "||" &amp; Y2</f>
        <v>1||M13</v>
      </c>
      <c r="T2">
        <f>IF(COUNTIF($S$2:S2, S2)=1, 1, 0)</f>
        <v>1</v>
      </c>
      <c r="U2" t="str">
        <f t="shared" ref="U2:U65" si="4">A2&amp; "||" &amp; Z2</f>
        <v>1||T1</v>
      </c>
      <c r="V2">
        <f>IF(COUNTIF($U$2:U2, U2)=1, 1, 0)</f>
        <v>1</v>
      </c>
      <c r="W2" t="s">
        <v>10</v>
      </c>
      <c r="X2" t="s">
        <v>280</v>
      </c>
      <c r="Y2" t="str">
        <f>_xlfn.XLOOKUP(X2, codes!A:A, codes!F:F, "")</f>
        <v>M13</v>
      </c>
      <c r="Z2" t="str">
        <f>_xlfn.XLOOKUP(Y2, 'sub-themes'!A:A, 'sub-themes'!H:H, "")</f>
        <v>T1</v>
      </c>
    </row>
    <row r="3" spans="1:26" x14ac:dyDescent="0.2">
      <c r="A3">
        <v>2</v>
      </c>
      <c r="B3">
        <v>5</v>
      </c>
      <c r="C3" t="s">
        <v>11</v>
      </c>
      <c r="D3">
        <v>2</v>
      </c>
      <c r="E3">
        <v>1</v>
      </c>
      <c r="F3" t="s">
        <v>8</v>
      </c>
      <c r="G3" t="s">
        <v>9</v>
      </c>
      <c r="H3" t="str">
        <f t="shared" ref="H3:H66" si="5">SUBSTITUTE(SUBSTITUTE(SUBSTITUTE(SUBSTITUTE(G3,"[",""),"]",""),"'",""),", ","|")</f>
        <v>snowflake/snowflake-arctic-embed-m-long</v>
      </c>
      <c r="I3" t="str">
        <f t="shared" si="0"/>
        <v>5||['add']||snowflake/snowflake-arctic-embed-m-long</v>
      </c>
      <c r="J3">
        <f>IF(COUNTIF($I$2:I3, I3)=1, 1, 0)</f>
        <v>0</v>
      </c>
      <c r="K3" t="str">
        <f t="shared" si="1"/>
        <v>5||['add']||snowflake/snowflake-arctic-embed-m-long||C1</v>
      </c>
      <c r="L3">
        <f>IF(COUNTIF($K$2:K3, K3)=1, 1, 0)</f>
        <v>0</v>
      </c>
      <c r="M3" t="str">
        <f t="shared" ref="M3:M66" si="6">I3 &amp; "||" &amp; Y3</f>
        <v>5||['add']||snowflake/snowflake-arctic-embed-m-long||M13</v>
      </c>
      <c r="N3">
        <f>IF(COUNTIF($M$2:M3, M3)=1, 1, 0)</f>
        <v>0</v>
      </c>
      <c r="O3" t="str">
        <f t="shared" ref="O3:O66" si="7">I3 &amp; "||" &amp; Z3</f>
        <v>5||['add']||snowflake/snowflake-arctic-embed-m-long||T1</v>
      </c>
      <c r="P3">
        <f>IF(COUNTIF($O$2:O3, O3)=1, 1, 0)</f>
        <v>0</v>
      </c>
      <c r="Q3" t="str">
        <f t="shared" si="2"/>
        <v>2||C1</v>
      </c>
      <c r="R3">
        <f>IF(COUNTIF($Q$2:Q3, Q3)=1, 1, 0)</f>
        <v>1</v>
      </c>
      <c r="S3" t="str">
        <f t="shared" si="3"/>
        <v>2||M13</v>
      </c>
      <c r="T3">
        <f>IF(COUNTIF($S$2:S3, S3)=1, 1, 0)</f>
        <v>1</v>
      </c>
      <c r="U3" t="str">
        <f t="shared" si="4"/>
        <v>2||T1</v>
      </c>
      <c r="V3">
        <f>IF(COUNTIF($U$2:U3, U3)=1, 1, 0)</f>
        <v>1</v>
      </c>
      <c r="W3" t="s">
        <v>12</v>
      </c>
      <c r="X3" t="s">
        <v>280</v>
      </c>
      <c r="Y3" t="str">
        <f>_xlfn.XLOOKUP(X3, codes!A:A, codes!F:F, "")</f>
        <v>M13</v>
      </c>
      <c r="Z3" t="str">
        <f>_xlfn.XLOOKUP(Y3, 'sub-themes'!A:A, 'sub-themes'!H:H, "")</f>
        <v>T1</v>
      </c>
    </row>
    <row r="4" spans="1:26" x14ac:dyDescent="0.2">
      <c r="A4">
        <v>3</v>
      </c>
      <c r="B4">
        <v>6</v>
      </c>
      <c r="C4" t="s">
        <v>7</v>
      </c>
      <c r="D4">
        <v>2</v>
      </c>
      <c r="E4">
        <v>1</v>
      </c>
      <c r="F4" t="s">
        <v>8</v>
      </c>
      <c r="G4" t="s">
        <v>13</v>
      </c>
      <c r="H4" t="str">
        <f t="shared" si="5"/>
        <v>openai-community/gpt2-large</v>
      </c>
      <c r="I4" t="str">
        <f t="shared" si="0"/>
        <v>6||['add']||openai-community/gpt2-large</v>
      </c>
      <c r="J4">
        <f>IF(COUNTIF($I$2:I4, I4)=1, 1, 0)</f>
        <v>1</v>
      </c>
      <c r="K4" t="str">
        <f t="shared" si="1"/>
        <v>6||['add']||openai-community/gpt2-large||C10</v>
      </c>
      <c r="L4">
        <f>IF(COUNTIF($K$2:K4, K4)=1, 1, 0)</f>
        <v>1</v>
      </c>
      <c r="M4" t="str">
        <f t="shared" si="6"/>
        <v>6||['add']||openai-community/gpt2-large||M10</v>
      </c>
      <c r="N4">
        <f>IF(COUNTIF($M$2:M4, M4)=1, 1, 0)</f>
        <v>1</v>
      </c>
      <c r="O4" t="str">
        <f t="shared" si="7"/>
        <v>6||['add']||openai-community/gpt2-large||T3</v>
      </c>
      <c r="P4">
        <f>IF(COUNTIF($O$2:O4, O4)=1, 1, 0)</f>
        <v>1</v>
      </c>
      <c r="Q4" t="str">
        <f t="shared" si="2"/>
        <v>3||C10</v>
      </c>
      <c r="R4">
        <f>IF(COUNTIF($Q$2:Q4, Q4)=1, 1, 0)</f>
        <v>1</v>
      </c>
      <c r="S4" t="str">
        <f t="shared" si="3"/>
        <v>3||M10</v>
      </c>
      <c r="T4">
        <f>IF(COUNTIF($S$2:S4, S4)=1, 1, 0)</f>
        <v>1</v>
      </c>
      <c r="U4" t="str">
        <f t="shared" si="4"/>
        <v>3||T3</v>
      </c>
      <c r="V4">
        <f>IF(COUNTIF($U$2:U4, U4)=1, 1, 0)</f>
        <v>1</v>
      </c>
      <c r="W4" t="s">
        <v>14</v>
      </c>
      <c r="X4" t="s">
        <v>300</v>
      </c>
      <c r="Y4" t="str">
        <f>_xlfn.XLOOKUP(X4, codes!A:A, codes!F:F, "")</f>
        <v>M10</v>
      </c>
      <c r="Z4" t="str">
        <f>_xlfn.XLOOKUP(Y4, 'sub-themes'!A:A, 'sub-themes'!H:H, "")</f>
        <v>T3</v>
      </c>
    </row>
    <row r="5" spans="1:26" x14ac:dyDescent="0.2">
      <c r="A5">
        <v>4</v>
      </c>
      <c r="B5">
        <v>7</v>
      </c>
      <c r="C5" t="s">
        <v>15</v>
      </c>
      <c r="D5">
        <v>1</v>
      </c>
      <c r="E5">
        <v>1</v>
      </c>
      <c r="F5" t="s">
        <v>8</v>
      </c>
      <c r="G5" t="s">
        <v>16</v>
      </c>
      <c r="H5" t="str">
        <f t="shared" si="5"/>
        <v>mahmoodlab/titan</v>
      </c>
      <c r="I5" t="str">
        <f t="shared" si="0"/>
        <v>7||['add']||mahmoodlab/titan</v>
      </c>
      <c r="J5">
        <f>IF(COUNTIF($I$2:I5, I5)=1, 1, 0)</f>
        <v>1</v>
      </c>
      <c r="K5" t="str">
        <f t="shared" si="1"/>
        <v>7||['add']||mahmoodlab/titan||C2</v>
      </c>
      <c r="L5">
        <f>IF(COUNTIF($K$2:K5, K5)=1, 1, 0)</f>
        <v>1</v>
      </c>
      <c r="M5" t="str">
        <f t="shared" si="6"/>
        <v>7||['add']||mahmoodlab/titan||M18</v>
      </c>
      <c r="N5">
        <f>IF(COUNTIF($M$2:M5, M5)=1, 1, 0)</f>
        <v>1</v>
      </c>
      <c r="O5" t="str">
        <f t="shared" si="7"/>
        <v>7||['add']||mahmoodlab/titan||T2</v>
      </c>
      <c r="P5">
        <f>IF(COUNTIF($O$2:O5, O5)=1, 1, 0)</f>
        <v>1</v>
      </c>
      <c r="Q5" t="str">
        <f t="shared" si="2"/>
        <v>4||C2</v>
      </c>
      <c r="R5">
        <f>IF(COUNTIF($Q$2:Q5, Q5)=1, 1, 0)</f>
        <v>1</v>
      </c>
      <c r="S5" t="str">
        <f t="shared" si="3"/>
        <v>4||M18</v>
      </c>
      <c r="T5">
        <f>IF(COUNTIF($S$2:S5, S5)=1, 1, 0)</f>
        <v>1</v>
      </c>
      <c r="U5" t="str">
        <f t="shared" si="4"/>
        <v>4||T2</v>
      </c>
      <c r="V5">
        <f>IF(COUNTIF($U$2:U5, U5)=1, 1, 0)</f>
        <v>1</v>
      </c>
      <c r="W5" t="s">
        <v>17</v>
      </c>
      <c r="X5" t="s">
        <v>281</v>
      </c>
      <c r="Y5" t="str">
        <f>_xlfn.XLOOKUP(X5, codes!A:A, codes!F:F, "")</f>
        <v>M18</v>
      </c>
      <c r="Z5" t="str">
        <f>_xlfn.XLOOKUP(Y5, 'sub-themes'!A:A, 'sub-themes'!H:H, "")</f>
        <v>T2</v>
      </c>
    </row>
    <row r="6" spans="1:26" x14ac:dyDescent="0.2">
      <c r="A6">
        <v>5</v>
      </c>
      <c r="B6">
        <v>7</v>
      </c>
      <c r="C6" t="s">
        <v>7</v>
      </c>
      <c r="D6">
        <v>1</v>
      </c>
      <c r="E6">
        <v>1</v>
      </c>
      <c r="F6" t="s">
        <v>8</v>
      </c>
      <c r="G6" t="s">
        <v>16</v>
      </c>
      <c r="H6" t="str">
        <f t="shared" si="5"/>
        <v>mahmoodlab/titan</v>
      </c>
      <c r="I6" t="str">
        <f t="shared" si="0"/>
        <v>7||['add']||mahmoodlab/titan</v>
      </c>
      <c r="J6">
        <f>IF(COUNTIF($I$2:I6, I6)=1, 1, 0)</f>
        <v>0</v>
      </c>
      <c r="K6" t="str">
        <f t="shared" si="1"/>
        <v>7||['add']||mahmoodlab/titan||C2</v>
      </c>
      <c r="L6">
        <f>IF(COUNTIF($K$2:K6, K6)=1, 1, 0)</f>
        <v>0</v>
      </c>
      <c r="M6" t="str">
        <f t="shared" si="6"/>
        <v>7||['add']||mahmoodlab/titan||M18</v>
      </c>
      <c r="N6">
        <f>IF(COUNTIF($M$2:M6, M6)=1, 1, 0)</f>
        <v>0</v>
      </c>
      <c r="O6" t="str">
        <f t="shared" si="7"/>
        <v>7||['add']||mahmoodlab/titan||T2</v>
      </c>
      <c r="P6">
        <f>IF(COUNTIF($O$2:O6, O6)=1, 1, 0)</f>
        <v>0</v>
      </c>
      <c r="Q6" t="str">
        <f t="shared" si="2"/>
        <v>5||C2</v>
      </c>
      <c r="R6">
        <f>IF(COUNTIF($Q$2:Q6, Q6)=1, 1, 0)</f>
        <v>1</v>
      </c>
      <c r="S6" t="str">
        <f t="shared" si="3"/>
        <v>5||M18</v>
      </c>
      <c r="T6">
        <f>IF(COUNTIF($S$2:S6, S6)=1, 1, 0)</f>
        <v>1</v>
      </c>
      <c r="U6" t="str">
        <f t="shared" si="4"/>
        <v>5||T2</v>
      </c>
      <c r="V6">
        <f>IF(COUNTIF($U$2:U6, U6)=1, 1, 0)</f>
        <v>1</v>
      </c>
      <c r="W6" t="s">
        <v>18</v>
      </c>
      <c r="X6" t="s">
        <v>281</v>
      </c>
      <c r="Y6" t="str">
        <f>_xlfn.XLOOKUP(X6, codes!A:A, codes!F:F, "")</f>
        <v>M18</v>
      </c>
      <c r="Z6" t="str">
        <f>_xlfn.XLOOKUP(Y6, 'sub-themes'!A:A, 'sub-themes'!H:H, "")</f>
        <v>T2</v>
      </c>
    </row>
    <row r="7" spans="1:26" x14ac:dyDescent="0.2">
      <c r="A7">
        <v>6</v>
      </c>
      <c r="B7">
        <v>7</v>
      </c>
      <c r="C7" t="s">
        <v>19</v>
      </c>
      <c r="D7">
        <v>1</v>
      </c>
      <c r="E7">
        <v>1</v>
      </c>
      <c r="F7" t="s">
        <v>8</v>
      </c>
      <c r="G7" t="s">
        <v>16</v>
      </c>
      <c r="H7" t="str">
        <f t="shared" si="5"/>
        <v>mahmoodlab/titan</v>
      </c>
      <c r="I7" t="str">
        <f t="shared" si="0"/>
        <v>7||['add']||mahmoodlab/titan</v>
      </c>
      <c r="J7">
        <f>IF(COUNTIF($I$2:I7, I7)=1, 1, 0)</f>
        <v>0</v>
      </c>
      <c r="K7" t="str">
        <f t="shared" si="1"/>
        <v>7||['add']||mahmoodlab/titan||C2</v>
      </c>
      <c r="L7">
        <f>IF(COUNTIF($K$2:K7, K7)=1, 1, 0)</f>
        <v>0</v>
      </c>
      <c r="M7" t="str">
        <f t="shared" si="6"/>
        <v>7||['add']||mahmoodlab/titan||M18</v>
      </c>
      <c r="N7">
        <f>IF(COUNTIF($M$2:M7, M7)=1, 1, 0)</f>
        <v>0</v>
      </c>
      <c r="O7" t="str">
        <f t="shared" si="7"/>
        <v>7||['add']||mahmoodlab/titan||T2</v>
      </c>
      <c r="P7">
        <f>IF(COUNTIF($O$2:O7, O7)=1, 1, 0)</f>
        <v>0</v>
      </c>
      <c r="Q7" t="str">
        <f t="shared" si="2"/>
        <v>6||C2</v>
      </c>
      <c r="R7">
        <f>IF(COUNTIF($Q$2:Q7, Q7)=1, 1, 0)</f>
        <v>1</v>
      </c>
      <c r="S7" t="str">
        <f t="shared" si="3"/>
        <v>6||M18</v>
      </c>
      <c r="T7">
        <f>IF(COUNTIF($S$2:S7, S7)=1, 1, 0)</f>
        <v>1</v>
      </c>
      <c r="U7" t="str">
        <f t="shared" si="4"/>
        <v>6||T2</v>
      </c>
      <c r="V7">
        <f>IF(COUNTIF($U$2:U7, U7)=1, 1, 0)</f>
        <v>1</v>
      </c>
      <c r="W7" t="s">
        <v>17</v>
      </c>
      <c r="X7" t="s">
        <v>281</v>
      </c>
      <c r="Y7" t="str">
        <f>_xlfn.XLOOKUP(X7, codes!A:A, codes!F:F, "")</f>
        <v>M18</v>
      </c>
      <c r="Z7" t="str">
        <f>_xlfn.XLOOKUP(Y7, 'sub-themes'!A:A, 'sub-themes'!H:H, "")</f>
        <v>T2</v>
      </c>
    </row>
    <row r="8" spans="1:26" x14ac:dyDescent="0.2">
      <c r="A8">
        <v>7</v>
      </c>
      <c r="B8">
        <v>12</v>
      </c>
      <c r="C8" t="s">
        <v>15</v>
      </c>
      <c r="D8">
        <v>1</v>
      </c>
      <c r="E8">
        <v>1</v>
      </c>
      <c r="F8" t="s">
        <v>8</v>
      </c>
      <c r="G8" t="s">
        <v>20</v>
      </c>
      <c r="H8" t="str">
        <f t="shared" si="5"/>
        <v>google-bert/bert-base-cased</v>
      </c>
      <c r="I8" t="str">
        <f t="shared" si="0"/>
        <v>12||['add']||google-bert/bert-base-cased</v>
      </c>
      <c r="J8">
        <f>IF(COUNTIF($I$2:I8, I8)=1, 1, 0)</f>
        <v>1</v>
      </c>
      <c r="K8" t="str">
        <f t="shared" si="1"/>
        <v>12||['add']||google-bert/bert-base-cased||C3</v>
      </c>
      <c r="L8">
        <f>IF(COUNTIF($K$2:K8, K8)=1, 1, 0)</f>
        <v>1</v>
      </c>
      <c r="M8" t="str">
        <f t="shared" si="6"/>
        <v>12||['add']||google-bert/bert-base-cased||M19</v>
      </c>
      <c r="N8">
        <f>IF(COUNTIF($M$2:M8, M8)=1, 1, 0)</f>
        <v>1</v>
      </c>
      <c r="O8" t="str">
        <f t="shared" si="7"/>
        <v>12||['add']||google-bert/bert-base-cased||T3</v>
      </c>
      <c r="P8">
        <f>IF(COUNTIF($O$2:O8, O8)=1, 1, 0)</f>
        <v>1</v>
      </c>
      <c r="Q8" t="str">
        <f t="shared" si="2"/>
        <v>7||C3</v>
      </c>
      <c r="R8">
        <f>IF(COUNTIF($Q$2:Q8, Q8)=1, 1, 0)</f>
        <v>1</v>
      </c>
      <c r="S8" t="str">
        <f t="shared" si="3"/>
        <v>7||M19</v>
      </c>
      <c r="T8">
        <f>IF(COUNTIF($S$2:S8, S8)=1, 1, 0)</f>
        <v>1</v>
      </c>
      <c r="U8" t="str">
        <f t="shared" si="4"/>
        <v>7||T3</v>
      </c>
      <c r="V8">
        <f>IF(COUNTIF($U$2:U8, U8)=1, 1, 0)</f>
        <v>1</v>
      </c>
      <c r="W8" t="s">
        <v>21</v>
      </c>
      <c r="X8" t="s">
        <v>285</v>
      </c>
      <c r="Y8" t="str">
        <f>_xlfn.XLOOKUP(X8, codes!A:A, codes!F:F, "")</f>
        <v>M19</v>
      </c>
      <c r="Z8" t="str">
        <f>_xlfn.XLOOKUP(Y8, 'sub-themes'!A:A, 'sub-themes'!H:H, "")</f>
        <v>T3</v>
      </c>
    </row>
    <row r="9" spans="1:26" x14ac:dyDescent="0.2">
      <c r="A9">
        <v>8</v>
      </c>
      <c r="B9">
        <v>16</v>
      </c>
      <c r="C9" t="s">
        <v>7</v>
      </c>
      <c r="D9">
        <v>1</v>
      </c>
      <c r="E9">
        <v>1</v>
      </c>
      <c r="F9" t="s">
        <v>8</v>
      </c>
      <c r="G9" t="s">
        <v>22</v>
      </c>
      <c r="H9" t="str">
        <f t="shared" si="5"/>
        <v>google-bert/bert-base-uncased</v>
      </c>
      <c r="I9" t="str">
        <f t="shared" si="0"/>
        <v>16||['add']||google-bert/bert-base-uncased</v>
      </c>
      <c r="J9">
        <f>IF(COUNTIF($I$2:I9, I9)=1, 1, 0)</f>
        <v>1</v>
      </c>
      <c r="K9" t="str">
        <f t="shared" si="1"/>
        <v>16||['add']||google-bert/bert-base-uncased||C4</v>
      </c>
      <c r="L9">
        <f>IF(COUNTIF($K$2:K9, K9)=1, 1, 0)</f>
        <v>1</v>
      </c>
      <c r="M9" t="str">
        <f t="shared" si="6"/>
        <v>16||['add']||google-bert/bert-base-uncased||M1</v>
      </c>
      <c r="N9">
        <f>IF(COUNTIF($M$2:M9, M9)=1, 1, 0)</f>
        <v>1</v>
      </c>
      <c r="O9" t="str">
        <f t="shared" si="7"/>
        <v>16||['add']||google-bert/bert-base-uncased||T1</v>
      </c>
      <c r="P9">
        <f>IF(COUNTIF($O$2:O9, O9)=1, 1, 0)</f>
        <v>1</v>
      </c>
      <c r="Q9" t="str">
        <f t="shared" si="2"/>
        <v>8||C4</v>
      </c>
      <c r="R9">
        <f>IF(COUNTIF($Q$2:Q9, Q9)=1, 1, 0)</f>
        <v>1</v>
      </c>
      <c r="S9" t="str">
        <f t="shared" si="3"/>
        <v>8||M1</v>
      </c>
      <c r="T9">
        <f>IF(COUNTIF($S$2:S9, S9)=1, 1, 0)</f>
        <v>1</v>
      </c>
      <c r="U9" t="str">
        <f t="shared" si="4"/>
        <v>8||T1</v>
      </c>
      <c r="V9">
        <f>IF(COUNTIF($U$2:U9, U9)=1, 1, 0)</f>
        <v>1</v>
      </c>
      <c r="W9" t="s">
        <v>23</v>
      </c>
      <c r="X9" t="s">
        <v>288</v>
      </c>
      <c r="Y9" t="str">
        <f>_xlfn.XLOOKUP(X9, codes!A:A, codes!F:F, "")</f>
        <v>M1</v>
      </c>
      <c r="Z9" t="str">
        <f>_xlfn.XLOOKUP(Y9, 'sub-themes'!A:A, 'sub-themes'!H:H, "")</f>
        <v>T1</v>
      </c>
    </row>
    <row r="10" spans="1:26" x14ac:dyDescent="0.2">
      <c r="A10">
        <v>9</v>
      </c>
      <c r="B10">
        <v>16</v>
      </c>
      <c r="C10" t="s">
        <v>19</v>
      </c>
      <c r="D10">
        <v>1</v>
      </c>
      <c r="E10">
        <v>1</v>
      </c>
      <c r="F10" t="s">
        <v>8</v>
      </c>
      <c r="G10" t="s">
        <v>22</v>
      </c>
      <c r="H10" t="str">
        <f t="shared" si="5"/>
        <v>google-bert/bert-base-uncased</v>
      </c>
      <c r="I10" t="str">
        <f t="shared" si="0"/>
        <v>16||['add']||google-bert/bert-base-uncased</v>
      </c>
      <c r="J10">
        <f>IF(COUNTIF($I$2:I10, I10)=1, 1, 0)</f>
        <v>0</v>
      </c>
      <c r="K10" t="str">
        <f t="shared" si="1"/>
        <v>16||['add']||google-bert/bert-base-uncased||C4</v>
      </c>
      <c r="L10">
        <f>IF(COUNTIF($K$2:K10, K10)=1, 1, 0)</f>
        <v>0</v>
      </c>
      <c r="M10" t="str">
        <f t="shared" si="6"/>
        <v>16||['add']||google-bert/bert-base-uncased||M1</v>
      </c>
      <c r="N10">
        <f>IF(COUNTIF($M$2:M10, M10)=1, 1, 0)</f>
        <v>0</v>
      </c>
      <c r="O10" t="str">
        <f t="shared" si="7"/>
        <v>16||['add']||google-bert/bert-base-uncased||T1</v>
      </c>
      <c r="P10">
        <f>IF(COUNTIF($O$2:O10, O10)=1, 1, 0)</f>
        <v>0</v>
      </c>
      <c r="Q10" t="str">
        <f t="shared" si="2"/>
        <v>9||C4</v>
      </c>
      <c r="R10">
        <f>IF(COUNTIF($Q$2:Q10, Q10)=1, 1, 0)</f>
        <v>1</v>
      </c>
      <c r="S10" t="str">
        <f t="shared" si="3"/>
        <v>9||M1</v>
      </c>
      <c r="T10">
        <f>IF(COUNTIF($S$2:S10, S10)=1, 1, 0)</f>
        <v>1</v>
      </c>
      <c r="U10" t="str">
        <f t="shared" si="4"/>
        <v>9||T1</v>
      </c>
      <c r="V10">
        <f>IF(COUNTIF($U$2:U10, U10)=1, 1, 0)</f>
        <v>1</v>
      </c>
      <c r="W10" t="s">
        <v>24</v>
      </c>
      <c r="X10" t="s">
        <v>288</v>
      </c>
      <c r="Y10" t="str">
        <f>_xlfn.XLOOKUP(X10, codes!A:A, codes!F:F, "")</f>
        <v>M1</v>
      </c>
      <c r="Z10" t="str">
        <f>_xlfn.XLOOKUP(Y10, 'sub-themes'!A:A, 'sub-themes'!H:H, "")</f>
        <v>T1</v>
      </c>
    </row>
    <row r="11" spans="1:26" x14ac:dyDescent="0.2">
      <c r="A11">
        <v>10</v>
      </c>
      <c r="B11">
        <v>17</v>
      </c>
      <c r="C11" t="s">
        <v>7</v>
      </c>
      <c r="D11">
        <v>1</v>
      </c>
      <c r="E11">
        <v>1</v>
      </c>
      <c r="F11" t="s">
        <v>8</v>
      </c>
      <c r="G11" t="s">
        <v>25</v>
      </c>
      <c r="H11" t="str">
        <f t="shared" si="5"/>
        <v>prajjwal1/bert-tiny</v>
      </c>
      <c r="I11" t="str">
        <f t="shared" si="0"/>
        <v>17||['add']||prajjwal1/bert-tiny</v>
      </c>
      <c r="J11">
        <f>IF(COUNTIF($I$2:I11, I11)=1, 1, 0)</f>
        <v>1</v>
      </c>
      <c r="K11" t="str">
        <f t="shared" si="1"/>
        <v>17||['add']||prajjwal1/bert-tiny||C5</v>
      </c>
      <c r="L11">
        <f>IF(COUNTIF($K$2:K11, K11)=1, 1, 0)</f>
        <v>1</v>
      </c>
      <c r="M11" t="str">
        <f t="shared" si="6"/>
        <v>17||['add']||prajjwal1/bert-tiny||M17</v>
      </c>
      <c r="N11">
        <f>IF(COUNTIF($M$2:M11, M11)=1, 1, 0)</f>
        <v>1</v>
      </c>
      <c r="O11" t="str">
        <f t="shared" si="7"/>
        <v>17||['add']||prajjwal1/bert-tiny||T3</v>
      </c>
      <c r="P11">
        <f>IF(COUNTIF($O$2:O11, O11)=1, 1, 0)</f>
        <v>1</v>
      </c>
      <c r="Q11" t="str">
        <f t="shared" si="2"/>
        <v>10||C5</v>
      </c>
      <c r="R11">
        <f>IF(COUNTIF($Q$2:Q11, Q11)=1, 1, 0)</f>
        <v>1</v>
      </c>
      <c r="S11" t="str">
        <f t="shared" si="3"/>
        <v>10||M17</v>
      </c>
      <c r="T11">
        <f>IF(COUNTIF($S$2:S11, S11)=1, 1, 0)</f>
        <v>1</v>
      </c>
      <c r="U11" t="str">
        <f t="shared" si="4"/>
        <v>10||T3</v>
      </c>
      <c r="V11">
        <f>IF(COUNTIF($U$2:U11, U11)=1, 1, 0)</f>
        <v>1</v>
      </c>
      <c r="W11" t="s">
        <v>26</v>
      </c>
      <c r="X11" t="s">
        <v>291</v>
      </c>
      <c r="Y11" t="str">
        <f>_xlfn.XLOOKUP(X11, codes!A:A, codes!F:F, "")</f>
        <v>M17</v>
      </c>
      <c r="Z11" t="str">
        <f>_xlfn.XLOOKUP(Y11, 'sub-themes'!A:A, 'sub-themes'!H:H, "")</f>
        <v>T3</v>
      </c>
    </row>
    <row r="12" spans="1:26" x14ac:dyDescent="0.2">
      <c r="A12">
        <v>11</v>
      </c>
      <c r="B12">
        <v>26</v>
      </c>
      <c r="C12" t="s">
        <v>28</v>
      </c>
      <c r="D12">
        <v>1</v>
      </c>
      <c r="E12">
        <v>1</v>
      </c>
      <c r="F12" t="s">
        <v>8</v>
      </c>
      <c r="G12" t="s">
        <v>22</v>
      </c>
      <c r="H12" t="str">
        <f t="shared" si="5"/>
        <v>google-bert/bert-base-uncased</v>
      </c>
      <c r="I12" t="str">
        <f t="shared" si="0"/>
        <v>26||['add']||google-bert/bert-base-uncased</v>
      </c>
      <c r="J12">
        <f>IF(COUNTIF($I$2:I12, I12)=1, 1, 0)</f>
        <v>1</v>
      </c>
      <c r="K12" t="str">
        <f t="shared" si="1"/>
        <v>26||['add']||google-bert/bert-base-uncased||C68</v>
      </c>
      <c r="L12">
        <f>IF(COUNTIF($K$2:K12, K12)=1, 1, 0)</f>
        <v>1</v>
      </c>
      <c r="M12" t="str">
        <f t="shared" si="6"/>
        <v>26||['add']||google-bert/bert-base-uncased||M6</v>
      </c>
      <c r="N12">
        <f>IF(COUNTIF($M$2:M12, M12)=1, 1, 0)</f>
        <v>1</v>
      </c>
      <c r="O12" t="str">
        <f t="shared" si="7"/>
        <v>26||['add']||google-bert/bert-base-uncased||T4</v>
      </c>
      <c r="P12">
        <f>IF(COUNTIF($O$2:O12, O12)=1, 1, 0)</f>
        <v>1</v>
      </c>
      <c r="Q12" t="str">
        <f t="shared" si="2"/>
        <v>11||C68</v>
      </c>
      <c r="R12">
        <f>IF(COUNTIF($Q$2:Q12, Q12)=1, 1, 0)</f>
        <v>1</v>
      </c>
      <c r="S12" t="str">
        <f t="shared" si="3"/>
        <v>11||M6</v>
      </c>
      <c r="T12">
        <f>IF(COUNTIF($S$2:S12, S12)=1, 1, 0)</f>
        <v>1</v>
      </c>
      <c r="U12" t="str">
        <f t="shared" si="4"/>
        <v>11||T4</v>
      </c>
      <c r="V12">
        <f>IF(COUNTIF($U$2:U12, U12)=1, 1, 0)</f>
        <v>1</v>
      </c>
      <c r="W12" t="s">
        <v>276</v>
      </c>
      <c r="X12" t="s">
        <v>434</v>
      </c>
      <c r="Y12" t="str">
        <f>_xlfn.XLOOKUP(X12, codes!A:A, codes!F:F, "")</f>
        <v>M6</v>
      </c>
      <c r="Z12" t="str">
        <f>_xlfn.XLOOKUP(Y12, 'sub-themes'!A:A, 'sub-themes'!H:H, "")</f>
        <v>T4</v>
      </c>
    </row>
    <row r="13" spans="1:26" x14ac:dyDescent="0.2">
      <c r="A13">
        <v>12</v>
      </c>
      <c r="B13">
        <v>27</v>
      </c>
      <c r="C13" t="s">
        <v>19</v>
      </c>
      <c r="D13">
        <v>1</v>
      </c>
      <c r="E13">
        <v>1</v>
      </c>
      <c r="F13" t="s">
        <v>29</v>
      </c>
      <c r="G13" t="s">
        <v>30</v>
      </c>
      <c r="H13" t="str">
        <f t="shared" si="5"/>
        <v>openai/whisper-tiny</v>
      </c>
      <c r="I13" t="str">
        <f t="shared" si="0"/>
        <v>27||['migrate']||openai/whisper-tiny</v>
      </c>
      <c r="J13">
        <f>IF(COUNTIF($I$2:I13, I13)=1, 1, 0)</f>
        <v>1</v>
      </c>
      <c r="K13" t="str">
        <f t="shared" si="1"/>
        <v>27||['migrate']||openai/whisper-tiny||C7</v>
      </c>
      <c r="L13">
        <f>IF(COUNTIF($K$2:K13, K13)=1, 1, 0)</f>
        <v>1</v>
      </c>
      <c r="M13" t="str">
        <f t="shared" si="6"/>
        <v>27||['migrate']||openai/whisper-tiny||M7</v>
      </c>
      <c r="N13">
        <f>IF(COUNTIF($M$2:M13, M13)=1, 1, 0)</f>
        <v>1</v>
      </c>
      <c r="O13" t="str">
        <f t="shared" si="7"/>
        <v>27||['migrate']||openai/whisper-tiny||T5</v>
      </c>
      <c r="P13">
        <f>IF(COUNTIF($O$2:O13, O13)=1, 1, 0)</f>
        <v>1</v>
      </c>
      <c r="Q13" t="str">
        <f t="shared" si="2"/>
        <v>12||C7</v>
      </c>
      <c r="R13">
        <f>IF(COUNTIF($Q$2:Q13, Q13)=1, 1, 0)</f>
        <v>1</v>
      </c>
      <c r="S13" t="str">
        <f t="shared" si="3"/>
        <v>12||M7</v>
      </c>
      <c r="T13">
        <f>IF(COUNTIF($S$2:S13, S13)=1, 1, 0)</f>
        <v>1</v>
      </c>
      <c r="U13" t="str">
        <f t="shared" si="4"/>
        <v>12||T5</v>
      </c>
      <c r="V13">
        <f>IF(COUNTIF($U$2:U13, U13)=1, 1, 0)</f>
        <v>1</v>
      </c>
      <c r="W13" t="s">
        <v>31</v>
      </c>
      <c r="X13" t="s">
        <v>294</v>
      </c>
      <c r="Y13" t="str">
        <f>_xlfn.XLOOKUP(X13, codes!A:A, codes!F:F, "")</f>
        <v>M7</v>
      </c>
      <c r="Z13" t="str">
        <f>_xlfn.XLOOKUP(Y13, 'sub-themes'!A:A, 'sub-themes'!H:H, "")</f>
        <v>T5</v>
      </c>
    </row>
    <row r="14" spans="1:26" x14ac:dyDescent="0.2">
      <c r="A14">
        <v>13</v>
      </c>
      <c r="B14">
        <v>28</v>
      </c>
      <c r="C14" t="s">
        <v>19</v>
      </c>
      <c r="D14">
        <v>1</v>
      </c>
      <c r="E14">
        <v>1</v>
      </c>
      <c r="F14" t="s">
        <v>29</v>
      </c>
      <c r="G14" t="s">
        <v>32</v>
      </c>
      <c r="H14" t="str">
        <f t="shared" si="5"/>
        <v>alibaba-nlp/gte-base-en-v1.5</v>
      </c>
      <c r="I14" t="str">
        <f t="shared" si="0"/>
        <v>28||['migrate']||alibaba-nlp/gte-base-en-v1.5</v>
      </c>
      <c r="J14">
        <f>IF(COUNTIF($I$2:I14, I14)=1, 1, 0)</f>
        <v>1</v>
      </c>
      <c r="K14" t="str">
        <f t="shared" si="1"/>
        <v>28||['migrate']||alibaba-nlp/gte-base-en-v1.5||C8</v>
      </c>
      <c r="L14">
        <f>IF(COUNTIF($K$2:K14, K14)=1, 1, 0)</f>
        <v>1</v>
      </c>
      <c r="M14" t="str">
        <f t="shared" si="6"/>
        <v>28||['migrate']||alibaba-nlp/gte-base-en-v1.5||M8</v>
      </c>
      <c r="N14">
        <f>IF(COUNTIF($M$2:M14, M14)=1, 1, 0)</f>
        <v>1</v>
      </c>
      <c r="O14" t="str">
        <f t="shared" si="7"/>
        <v>28||['migrate']||alibaba-nlp/gte-base-en-v1.5||T4</v>
      </c>
      <c r="P14">
        <f>IF(COUNTIF($O$2:O14, O14)=1, 1, 0)</f>
        <v>1</v>
      </c>
      <c r="Q14" t="str">
        <f t="shared" si="2"/>
        <v>13||C8</v>
      </c>
      <c r="R14">
        <f>IF(COUNTIF($Q$2:Q14, Q14)=1, 1, 0)</f>
        <v>1</v>
      </c>
      <c r="S14" t="str">
        <f t="shared" si="3"/>
        <v>13||M8</v>
      </c>
      <c r="T14">
        <f>IF(COUNTIF($S$2:S14, S14)=1, 1, 0)</f>
        <v>1</v>
      </c>
      <c r="U14" t="str">
        <f t="shared" si="4"/>
        <v>13||T4</v>
      </c>
      <c r="V14">
        <f>IF(COUNTIF($U$2:U14, U14)=1, 1, 0)</f>
        <v>1</v>
      </c>
      <c r="W14" t="s">
        <v>33</v>
      </c>
      <c r="X14" t="s">
        <v>297</v>
      </c>
      <c r="Y14" t="str">
        <f>_xlfn.XLOOKUP(X14, codes!A:A, codes!F:F, "")</f>
        <v>M8</v>
      </c>
      <c r="Z14" t="str">
        <f>_xlfn.XLOOKUP(Y14, 'sub-themes'!A:A, 'sub-themes'!H:H, "")</f>
        <v>T4</v>
      </c>
    </row>
    <row r="15" spans="1:26" x14ac:dyDescent="0.2">
      <c r="A15">
        <v>13</v>
      </c>
      <c r="B15">
        <v>28</v>
      </c>
      <c r="C15" t="s">
        <v>19</v>
      </c>
      <c r="D15">
        <v>1</v>
      </c>
      <c r="E15">
        <v>1</v>
      </c>
      <c r="F15" t="s">
        <v>29</v>
      </c>
      <c r="G15" t="s">
        <v>32</v>
      </c>
      <c r="H15" t="str">
        <f t="shared" si="5"/>
        <v>alibaba-nlp/gte-base-en-v1.5</v>
      </c>
      <c r="I15" t="str">
        <f t="shared" si="0"/>
        <v>28||['migrate']||alibaba-nlp/gte-base-en-v1.5</v>
      </c>
      <c r="J15">
        <f>IF(COUNTIF($I$2:I15, I15)=1, 1, 0)</f>
        <v>0</v>
      </c>
      <c r="K15" t="str">
        <f t="shared" si="1"/>
        <v>28||['migrate']||alibaba-nlp/gte-base-en-v1.5||C9</v>
      </c>
      <c r="L15">
        <f>IF(COUNTIF($K$2:K15, K15)=1, 1, 0)</f>
        <v>1</v>
      </c>
      <c r="M15" t="str">
        <f t="shared" si="6"/>
        <v>28||['migrate']||alibaba-nlp/gte-base-en-v1.5||M8</v>
      </c>
      <c r="N15">
        <f>IF(COUNTIF($M$2:M15, M15)=1, 1, 0)</f>
        <v>0</v>
      </c>
      <c r="O15" t="str">
        <f t="shared" si="7"/>
        <v>28||['migrate']||alibaba-nlp/gte-base-en-v1.5||T4</v>
      </c>
      <c r="P15">
        <f>IF(COUNTIF($O$2:O15, O15)=1, 1, 0)</f>
        <v>0</v>
      </c>
      <c r="Q15" t="str">
        <f t="shared" si="2"/>
        <v>13||C9</v>
      </c>
      <c r="R15">
        <f>IF(COUNTIF($Q$2:Q15, Q15)=1, 1, 0)</f>
        <v>1</v>
      </c>
      <c r="S15" t="str">
        <f t="shared" si="3"/>
        <v>13||M8</v>
      </c>
      <c r="T15">
        <f>IF(COUNTIF($S$2:S15, S15)=1, 1, 0)</f>
        <v>0</v>
      </c>
      <c r="U15" t="str">
        <f t="shared" si="4"/>
        <v>13||T4</v>
      </c>
      <c r="V15">
        <f>IF(COUNTIF($U$2:U15, U15)=1, 1, 0)</f>
        <v>0</v>
      </c>
      <c r="W15" t="s">
        <v>34</v>
      </c>
      <c r="X15" t="s">
        <v>299</v>
      </c>
      <c r="Y15" t="str">
        <f>_xlfn.XLOOKUP(X15, codes!A:A, codes!F:F, "")</f>
        <v>M8</v>
      </c>
      <c r="Z15" t="str">
        <f>_xlfn.XLOOKUP(Y15, 'sub-themes'!A:A, 'sub-themes'!H:H, "")</f>
        <v>T4</v>
      </c>
    </row>
    <row r="16" spans="1:26" x14ac:dyDescent="0.2">
      <c r="A16">
        <v>14</v>
      </c>
      <c r="B16">
        <v>29</v>
      </c>
      <c r="C16" t="s">
        <v>19</v>
      </c>
      <c r="D16">
        <v>1</v>
      </c>
      <c r="E16">
        <v>1</v>
      </c>
      <c r="F16" t="s">
        <v>8</v>
      </c>
      <c r="G16" t="s">
        <v>35</v>
      </c>
      <c r="H16" t="str">
        <f t="shared" si="5"/>
        <v>tinyllama/tinyllama-1.1b-chat-v1.0</v>
      </c>
      <c r="I16" t="str">
        <f t="shared" si="0"/>
        <v>29||['add']||tinyllama/tinyllama-1.1b-chat-v1.0</v>
      </c>
      <c r="J16">
        <f>IF(COUNTIF($I$2:I16, I16)=1, 1, 0)</f>
        <v>1</v>
      </c>
      <c r="K16" t="str">
        <f t="shared" si="1"/>
        <v>29||['add']||tinyllama/tinyllama-1.1b-chat-v1.0||C62</v>
      </c>
      <c r="L16">
        <f>IF(COUNTIF($K$2:K16, K16)=1, 1, 0)</f>
        <v>1</v>
      </c>
      <c r="M16" t="str">
        <f t="shared" si="6"/>
        <v>29||['add']||tinyllama/tinyllama-1.1b-chat-v1.0||M11</v>
      </c>
      <c r="N16">
        <f>IF(COUNTIF($M$2:M16, M16)=1, 1, 0)</f>
        <v>1</v>
      </c>
      <c r="O16" t="str">
        <f t="shared" si="7"/>
        <v>29||['add']||tinyllama/tinyllama-1.1b-chat-v1.0||T3</v>
      </c>
      <c r="P16">
        <f>IF(COUNTIF($O$2:O16, O16)=1, 1, 0)</f>
        <v>1</v>
      </c>
      <c r="Q16" t="str">
        <f t="shared" si="2"/>
        <v>14||C62</v>
      </c>
      <c r="R16">
        <f>IF(COUNTIF($Q$2:Q16, Q16)=1, 1, 0)</f>
        <v>1</v>
      </c>
      <c r="S16" t="str">
        <f t="shared" si="3"/>
        <v>14||M11</v>
      </c>
      <c r="T16">
        <f>IF(COUNTIF($S$2:S16, S16)=1, 1, 0)</f>
        <v>1</v>
      </c>
      <c r="U16" t="str">
        <f t="shared" si="4"/>
        <v>14||T3</v>
      </c>
      <c r="V16">
        <f>IF(COUNTIF($U$2:U16, U16)=1, 1, 0)</f>
        <v>1</v>
      </c>
      <c r="W16" t="s">
        <v>301</v>
      </c>
      <c r="X16" t="s">
        <v>425</v>
      </c>
      <c r="Y16" t="str">
        <f>_xlfn.XLOOKUP(X16, codes!A:A, codes!F:F, "")</f>
        <v>M11</v>
      </c>
      <c r="Z16" t="str">
        <f>_xlfn.XLOOKUP(Y16, 'sub-themes'!A:A, 'sub-themes'!H:H, "")</f>
        <v>T3</v>
      </c>
    </row>
    <row r="17" spans="1:26" x14ac:dyDescent="0.2">
      <c r="A17">
        <v>15</v>
      </c>
      <c r="B17">
        <v>31</v>
      </c>
      <c r="C17" t="s">
        <v>15</v>
      </c>
      <c r="D17">
        <v>2</v>
      </c>
      <c r="E17">
        <v>1</v>
      </c>
      <c r="F17" t="s">
        <v>8</v>
      </c>
      <c r="G17" t="s">
        <v>36</v>
      </c>
      <c r="H17" t="str">
        <f t="shared" si="5"/>
        <v>meta-llama/llama-3.1-8b</v>
      </c>
      <c r="I17" t="str">
        <f t="shared" si="0"/>
        <v>31||['add']||meta-llama/llama-3.1-8b</v>
      </c>
      <c r="J17">
        <f>IF(COUNTIF($I$2:I17, I17)=1, 1, 0)</f>
        <v>1</v>
      </c>
      <c r="K17" t="str">
        <f t="shared" si="1"/>
        <v>31||['add']||meta-llama/llama-3.1-8b||C12</v>
      </c>
      <c r="L17">
        <f>IF(COUNTIF($K$2:K17, K17)=1, 1, 0)</f>
        <v>1</v>
      </c>
      <c r="M17" t="str">
        <f t="shared" si="6"/>
        <v>31||['add']||meta-llama/llama-3.1-8b||M12</v>
      </c>
      <c r="N17">
        <f>IF(COUNTIF($M$2:M17, M17)=1, 1, 0)</f>
        <v>1</v>
      </c>
      <c r="O17" t="str">
        <f t="shared" si="7"/>
        <v>31||['add']||meta-llama/llama-3.1-8b||T5</v>
      </c>
      <c r="P17">
        <f>IF(COUNTIF($O$2:O17, O17)=1, 1, 0)</f>
        <v>1</v>
      </c>
      <c r="Q17" t="str">
        <f t="shared" si="2"/>
        <v>15||C12</v>
      </c>
      <c r="R17">
        <f>IF(COUNTIF($Q$2:Q17, Q17)=1, 1, 0)</f>
        <v>1</v>
      </c>
      <c r="S17" t="str">
        <f t="shared" si="3"/>
        <v>15||M12</v>
      </c>
      <c r="T17">
        <f>IF(COUNTIF($S$2:S17, S17)=1, 1, 0)</f>
        <v>1</v>
      </c>
      <c r="U17" t="str">
        <f t="shared" si="4"/>
        <v>15||T5</v>
      </c>
      <c r="V17">
        <f>IF(COUNTIF($U$2:U17, U17)=1, 1, 0)</f>
        <v>1</v>
      </c>
      <c r="W17" t="s">
        <v>37</v>
      </c>
      <c r="X17" t="s">
        <v>303</v>
      </c>
      <c r="Y17" t="str">
        <f>_xlfn.XLOOKUP(X17, codes!A:A, codes!F:F, "")</f>
        <v>M12</v>
      </c>
      <c r="Z17" t="str">
        <f>_xlfn.XLOOKUP(Y17, 'sub-themes'!A:A, 'sub-themes'!H:H, "")</f>
        <v>T5</v>
      </c>
    </row>
    <row r="18" spans="1:26" x14ac:dyDescent="0.2">
      <c r="A18">
        <v>16</v>
      </c>
      <c r="B18">
        <v>31</v>
      </c>
      <c r="C18" t="s">
        <v>7</v>
      </c>
      <c r="D18">
        <v>2</v>
      </c>
      <c r="E18">
        <v>1</v>
      </c>
      <c r="F18" t="s">
        <v>8</v>
      </c>
      <c r="G18" t="s">
        <v>36</v>
      </c>
      <c r="H18" t="str">
        <f t="shared" si="5"/>
        <v>meta-llama/llama-3.1-8b</v>
      </c>
      <c r="I18" t="str">
        <f t="shared" si="0"/>
        <v>31||['add']||meta-llama/llama-3.1-8b</v>
      </c>
      <c r="J18">
        <f>IF(COUNTIF($I$2:I18, I18)=1, 1, 0)</f>
        <v>0</v>
      </c>
      <c r="K18" t="str">
        <f t="shared" si="1"/>
        <v>31||['add']||meta-llama/llama-3.1-8b||C10</v>
      </c>
      <c r="L18">
        <f>IF(COUNTIF($K$2:K18, K18)=1, 1, 0)</f>
        <v>1</v>
      </c>
      <c r="M18" t="str">
        <f t="shared" si="6"/>
        <v>31||['add']||meta-llama/llama-3.1-8b||M10</v>
      </c>
      <c r="N18">
        <f>IF(COUNTIF($M$2:M18, M18)=1, 1, 0)</f>
        <v>1</v>
      </c>
      <c r="O18" t="str">
        <f t="shared" si="7"/>
        <v>31||['add']||meta-llama/llama-3.1-8b||T3</v>
      </c>
      <c r="P18">
        <f>IF(COUNTIF($O$2:O18, O18)=1, 1, 0)</f>
        <v>1</v>
      </c>
      <c r="Q18" t="str">
        <f t="shared" si="2"/>
        <v>16||C10</v>
      </c>
      <c r="R18">
        <f>IF(COUNTIF($Q$2:Q18, Q18)=1, 1, 0)</f>
        <v>1</v>
      </c>
      <c r="S18" t="str">
        <f t="shared" si="3"/>
        <v>16||M10</v>
      </c>
      <c r="T18">
        <f>IF(COUNTIF($S$2:S18, S18)=1, 1, 0)</f>
        <v>1</v>
      </c>
      <c r="U18" t="str">
        <f t="shared" si="4"/>
        <v>16||T3</v>
      </c>
      <c r="V18">
        <f>IF(COUNTIF($U$2:U18, U18)=1, 1, 0)</f>
        <v>1</v>
      </c>
      <c r="W18" t="s">
        <v>38</v>
      </c>
      <c r="X18" t="s">
        <v>300</v>
      </c>
      <c r="Y18" t="str">
        <f>_xlfn.XLOOKUP(X18, codes!A:A, codes!F:F, "")</f>
        <v>M10</v>
      </c>
      <c r="Z18" t="str">
        <f>_xlfn.XLOOKUP(Y18, 'sub-themes'!A:A, 'sub-themes'!H:H, "")</f>
        <v>T3</v>
      </c>
    </row>
    <row r="19" spans="1:26" x14ac:dyDescent="0.2">
      <c r="A19">
        <v>17</v>
      </c>
      <c r="B19">
        <v>31</v>
      </c>
      <c r="C19" t="s">
        <v>19</v>
      </c>
      <c r="D19">
        <v>2</v>
      </c>
      <c r="E19">
        <v>1</v>
      </c>
      <c r="F19" t="s">
        <v>8</v>
      </c>
      <c r="G19" t="s">
        <v>36</v>
      </c>
      <c r="H19" t="str">
        <f t="shared" si="5"/>
        <v>meta-llama/llama-3.1-8b</v>
      </c>
      <c r="I19" t="str">
        <f t="shared" si="0"/>
        <v>31||['add']||meta-llama/llama-3.1-8b</v>
      </c>
      <c r="J19">
        <f>IF(COUNTIF($I$2:I19, I19)=1, 1, 0)</f>
        <v>0</v>
      </c>
      <c r="K19" t="str">
        <f t="shared" si="1"/>
        <v>31||['add']||meta-llama/llama-3.1-8b||C12</v>
      </c>
      <c r="L19">
        <f>IF(COUNTIF($K$2:K19, K19)=1, 1, 0)</f>
        <v>0</v>
      </c>
      <c r="M19" t="str">
        <f t="shared" si="6"/>
        <v>31||['add']||meta-llama/llama-3.1-8b||M12</v>
      </c>
      <c r="N19">
        <f>IF(COUNTIF($M$2:M19, M19)=1, 1, 0)</f>
        <v>0</v>
      </c>
      <c r="O19" t="str">
        <f t="shared" si="7"/>
        <v>31||['add']||meta-llama/llama-3.1-8b||T5</v>
      </c>
      <c r="P19">
        <f>IF(COUNTIF($O$2:O19, O19)=1, 1, 0)</f>
        <v>0</v>
      </c>
      <c r="Q19" t="str">
        <f t="shared" si="2"/>
        <v>17||C12</v>
      </c>
      <c r="R19">
        <f>IF(COUNTIF($Q$2:Q19, Q19)=1, 1, 0)</f>
        <v>1</v>
      </c>
      <c r="S19" t="str">
        <f t="shared" si="3"/>
        <v>17||M12</v>
      </c>
      <c r="T19">
        <f>IF(COUNTIF($S$2:S19, S19)=1, 1, 0)</f>
        <v>1</v>
      </c>
      <c r="U19" t="str">
        <f t="shared" si="4"/>
        <v>17||T5</v>
      </c>
      <c r="V19">
        <f>IF(COUNTIF($U$2:U19, U19)=1, 1, 0)</f>
        <v>1</v>
      </c>
      <c r="W19" t="s">
        <v>39</v>
      </c>
      <c r="X19" t="s">
        <v>303</v>
      </c>
      <c r="Y19" t="str">
        <f>_xlfn.XLOOKUP(X19, codes!A:A, codes!F:F, "")</f>
        <v>M12</v>
      </c>
      <c r="Z19" t="str">
        <f>_xlfn.XLOOKUP(Y19, 'sub-themes'!A:A, 'sub-themes'!H:H, "")</f>
        <v>T5</v>
      </c>
    </row>
    <row r="20" spans="1:26" x14ac:dyDescent="0.2">
      <c r="A20">
        <v>18</v>
      </c>
      <c r="B20">
        <v>32</v>
      </c>
      <c r="C20" t="s">
        <v>15</v>
      </c>
      <c r="D20">
        <v>1</v>
      </c>
      <c r="E20">
        <v>1</v>
      </c>
      <c r="F20" t="s">
        <v>8</v>
      </c>
      <c r="G20" t="s">
        <v>40</v>
      </c>
      <c r="H20" t="str">
        <f t="shared" si="5"/>
        <v>openai/whisper-large-v3</v>
      </c>
      <c r="I20" t="str">
        <f t="shared" si="0"/>
        <v>32||['add']||openai/whisper-large-v3</v>
      </c>
      <c r="J20">
        <f>IF(COUNTIF($I$2:I20, I20)=1, 1, 0)</f>
        <v>1</v>
      </c>
      <c r="K20" t="str">
        <f t="shared" si="1"/>
        <v>32||['add']||openai/whisper-large-v3||C13</v>
      </c>
      <c r="L20">
        <f>IF(COUNTIF($K$2:K20, K20)=1, 1, 0)</f>
        <v>1</v>
      </c>
      <c r="M20" t="str">
        <f t="shared" si="6"/>
        <v>32||['add']||openai/whisper-large-v3||M1</v>
      </c>
      <c r="N20">
        <f>IF(COUNTIF($M$2:M20, M20)=1, 1, 0)</f>
        <v>1</v>
      </c>
      <c r="O20" t="str">
        <f t="shared" si="7"/>
        <v>32||['add']||openai/whisper-large-v3||T1</v>
      </c>
      <c r="P20">
        <f>IF(COUNTIF($O$2:O20, O20)=1, 1, 0)</f>
        <v>1</v>
      </c>
      <c r="Q20" t="str">
        <f t="shared" si="2"/>
        <v>18||C13</v>
      </c>
      <c r="R20">
        <f>IF(COUNTIF($Q$2:Q20, Q20)=1, 1, 0)</f>
        <v>1</v>
      </c>
      <c r="S20" t="str">
        <f t="shared" si="3"/>
        <v>18||M1</v>
      </c>
      <c r="T20">
        <f>IF(COUNTIF($S$2:S20, S20)=1, 1, 0)</f>
        <v>1</v>
      </c>
      <c r="U20" t="str">
        <f t="shared" si="4"/>
        <v>18||T1</v>
      </c>
      <c r="V20">
        <f>IF(COUNTIF($U$2:U20, U20)=1, 1, 0)</f>
        <v>1</v>
      </c>
      <c r="W20" t="s">
        <v>506</v>
      </c>
      <c r="X20" t="s">
        <v>304</v>
      </c>
      <c r="Y20" t="str">
        <f>_xlfn.XLOOKUP(X20, codes!A:A, codes!F:F, "")</f>
        <v>M1</v>
      </c>
      <c r="Z20" t="str">
        <f>_xlfn.XLOOKUP(Y20, 'sub-themes'!A:A, 'sub-themes'!H:H, "")</f>
        <v>T1</v>
      </c>
    </row>
    <row r="21" spans="1:26" x14ac:dyDescent="0.2">
      <c r="A21">
        <v>19</v>
      </c>
      <c r="B21">
        <v>32</v>
      </c>
      <c r="C21" t="s">
        <v>7</v>
      </c>
      <c r="D21">
        <v>1</v>
      </c>
      <c r="E21">
        <v>1</v>
      </c>
      <c r="F21" t="s">
        <v>8</v>
      </c>
      <c r="G21" t="s">
        <v>40</v>
      </c>
      <c r="H21" t="str">
        <f t="shared" si="5"/>
        <v>openai/whisper-large-v3</v>
      </c>
      <c r="I21" t="str">
        <f t="shared" si="0"/>
        <v>32||['add']||openai/whisper-large-v3</v>
      </c>
      <c r="J21">
        <f>IF(COUNTIF($I$2:I21, I21)=1, 1, 0)</f>
        <v>0</v>
      </c>
      <c r="K21" t="str">
        <f t="shared" si="1"/>
        <v>32||['add']||openai/whisper-large-v3||C13</v>
      </c>
      <c r="L21">
        <f>IF(COUNTIF($K$2:K21, K21)=1, 1, 0)</f>
        <v>0</v>
      </c>
      <c r="M21" t="str">
        <f t="shared" si="6"/>
        <v>32||['add']||openai/whisper-large-v3||M1</v>
      </c>
      <c r="N21">
        <f>IF(COUNTIF($M$2:M21, M21)=1, 1, 0)</f>
        <v>0</v>
      </c>
      <c r="O21" t="str">
        <f t="shared" si="7"/>
        <v>32||['add']||openai/whisper-large-v3||T1</v>
      </c>
      <c r="P21">
        <f>IF(COUNTIF($O$2:O21, O21)=1, 1, 0)</f>
        <v>0</v>
      </c>
      <c r="Q21" t="str">
        <f t="shared" si="2"/>
        <v>19||C13</v>
      </c>
      <c r="R21">
        <f>IF(COUNTIF($Q$2:Q21, Q21)=1, 1, 0)</f>
        <v>1</v>
      </c>
      <c r="S21" t="str">
        <f t="shared" si="3"/>
        <v>19||M1</v>
      </c>
      <c r="T21">
        <f>IF(COUNTIF($S$2:S21, S21)=1, 1, 0)</f>
        <v>1</v>
      </c>
      <c r="U21" t="str">
        <f t="shared" si="4"/>
        <v>19||T1</v>
      </c>
      <c r="V21">
        <f>IF(COUNTIF($U$2:U21, U21)=1, 1, 0)</f>
        <v>1</v>
      </c>
      <c r="W21" t="s">
        <v>507</v>
      </c>
      <c r="X21" t="s">
        <v>304</v>
      </c>
      <c r="Y21" t="str">
        <f>_xlfn.XLOOKUP(X21, codes!A:A, codes!F:F, "")</f>
        <v>M1</v>
      </c>
      <c r="Z21" t="str">
        <f>_xlfn.XLOOKUP(Y21, 'sub-themes'!A:A, 'sub-themes'!H:H, "")</f>
        <v>T1</v>
      </c>
    </row>
    <row r="22" spans="1:26" x14ac:dyDescent="0.2">
      <c r="A22">
        <v>20</v>
      </c>
      <c r="B22">
        <v>32</v>
      </c>
      <c r="C22" t="s">
        <v>19</v>
      </c>
      <c r="D22">
        <v>1</v>
      </c>
      <c r="E22">
        <v>1</v>
      </c>
      <c r="F22" t="s">
        <v>8</v>
      </c>
      <c r="G22" t="s">
        <v>40</v>
      </c>
      <c r="H22" t="str">
        <f t="shared" si="5"/>
        <v>openai/whisper-large-v3</v>
      </c>
      <c r="I22" t="str">
        <f t="shared" si="0"/>
        <v>32||['add']||openai/whisper-large-v3</v>
      </c>
      <c r="J22">
        <f>IF(COUNTIF($I$2:I22, I22)=1, 1, 0)</f>
        <v>0</v>
      </c>
      <c r="K22" t="str">
        <f t="shared" si="1"/>
        <v>32||['add']||openai/whisper-large-v3||C13</v>
      </c>
      <c r="L22">
        <f>IF(COUNTIF($K$2:K22, K22)=1, 1, 0)</f>
        <v>0</v>
      </c>
      <c r="M22" t="str">
        <f t="shared" si="6"/>
        <v>32||['add']||openai/whisper-large-v3||M1</v>
      </c>
      <c r="N22">
        <f>IF(COUNTIF($M$2:M22, M22)=1, 1, 0)</f>
        <v>0</v>
      </c>
      <c r="O22" t="str">
        <f t="shared" si="7"/>
        <v>32||['add']||openai/whisper-large-v3||T1</v>
      </c>
      <c r="P22">
        <f>IF(COUNTIF($O$2:O22, O22)=1, 1, 0)</f>
        <v>0</v>
      </c>
      <c r="Q22" t="str">
        <f t="shared" si="2"/>
        <v>20||C13</v>
      </c>
      <c r="R22">
        <f>IF(COUNTIF($Q$2:Q22, Q22)=1, 1, 0)</f>
        <v>1</v>
      </c>
      <c r="S22" t="str">
        <f t="shared" si="3"/>
        <v>20||M1</v>
      </c>
      <c r="T22">
        <f>IF(COUNTIF($S$2:S22, S22)=1, 1, 0)</f>
        <v>1</v>
      </c>
      <c r="U22" t="str">
        <f t="shared" si="4"/>
        <v>20||T1</v>
      </c>
      <c r="V22">
        <f>IF(COUNTIF($U$2:U22, U22)=1, 1, 0)</f>
        <v>1</v>
      </c>
      <c r="W22" t="s">
        <v>41</v>
      </c>
      <c r="X22" t="s">
        <v>304</v>
      </c>
      <c r="Y22" t="str">
        <f>_xlfn.XLOOKUP(X22, codes!A:A, codes!F:F, "")</f>
        <v>M1</v>
      </c>
      <c r="Z22" t="str">
        <f>_xlfn.XLOOKUP(Y22, 'sub-themes'!A:A, 'sub-themes'!H:H, "")</f>
        <v>T1</v>
      </c>
    </row>
    <row r="23" spans="1:26" x14ac:dyDescent="0.2">
      <c r="A23">
        <v>21</v>
      </c>
      <c r="B23">
        <v>32</v>
      </c>
      <c r="C23" t="s">
        <v>28</v>
      </c>
      <c r="D23">
        <v>1</v>
      </c>
      <c r="E23">
        <v>1</v>
      </c>
      <c r="F23" t="s">
        <v>8</v>
      </c>
      <c r="G23" t="s">
        <v>40</v>
      </c>
      <c r="H23" t="str">
        <f t="shared" si="5"/>
        <v>openai/whisper-large-v3</v>
      </c>
      <c r="I23" t="str">
        <f t="shared" si="0"/>
        <v>32||['add']||openai/whisper-large-v3</v>
      </c>
      <c r="J23">
        <f>IF(COUNTIF($I$2:I23, I23)=1, 1, 0)</f>
        <v>0</v>
      </c>
      <c r="K23" t="str">
        <f t="shared" si="1"/>
        <v>32||['add']||openai/whisper-large-v3||C14</v>
      </c>
      <c r="L23">
        <f>IF(COUNTIF($K$2:K23, K23)=1, 1, 0)</f>
        <v>1</v>
      </c>
      <c r="M23" t="str">
        <f t="shared" si="6"/>
        <v>32||['add']||openai/whisper-large-v3||M1</v>
      </c>
      <c r="N23">
        <f>IF(COUNTIF($M$2:M23, M23)=1, 1, 0)</f>
        <v>0</v>
      </c>
      <c r="O23" t="str">
        <f t="shared" si="7"/>
        <v>32||['add']||openai/whisper-large-v3||T1</v>
      </c>
      <c r="P23">
        <f>IF(COUNTIF($O$2:O23, O23)=1, 1, 0)</f>
        <v>0</v>
      </c>
      <c r="Q23" t="str">
        <f t="shared" si="2"/>
        <v>21||C14</v>
      </c>
      <c r="R23">
        <f>IF(COUNTIF($Q$2:Q23, Q23)=1, 1, 0)</f>
        <v>1</v>
      </c>
      <c r="S23" t="str">
        <f t="shared" si="3"/>
        <v>21||M1</v>
      </c>
      <c r="T23">
        <f>IF(COUNTIF($S$2:S23, S23)=1, 1, 0)</f>
        <v>1</v>
      </c>
      <c r="U23" t="str">
        <f t="shared" si="4"/>
        <v>21||T1</v>
      </c>
      <c r="V23">
        <f>IF(COUNTIF($U$2:U23, U23)=1, 1, 0)</f>
        <v>1</v>
      </c>
      <c r="W23" t="s">
        <v>42</v>
      </c>
      <c r="X23" t="s">
        <v>306</v>
      </c>
      <c r="Y23" t="str">
        <f>_xlfn.XLOOKUP(X23, codes!A:A, codes!F:F, "")</f>
        <v>M1</v>
      </c>
      <c r="Z23" t="str">
        <f>_xlfn.XLOOKUP(Y23, 'sub-themes'!A:A, 'sub-themes'!H:H, "")</f>
        <v>T1</v>
      </c>
    </row>
    <row r="24" spans="1:26" x14ac:dyDescent="0.2">
      <c r="A24">
        <v>22</v>
      </c>
      <c r="B24">
        <v>33</v>
      </c>
      <c r="C24" t="s">
        <v>15</v>
      </c>
      <c r="D24">
        <v>1</v>
      </c>
      <c r="E24">
        <v>1</v>
      </c>
      <c r="F24" t="s">
        <v>8</v>
      </c>
      <c r="G24" t="s">
        <v>43</v>
      </c>
      <c r="H24" t="str">
        <f t="shared" si="5"/>
        <v>spacy/en_core_web_sm</v>
      </c>
      <c r="I24" t="str">
        <f t="shared" si="0"/>
        <v>33||['add']||spacy/en_core_web_sm</v>
      </c>
      <c r="J24">
        <f>IF(COUNTIF($I$2:I24, I24)=1, 1, 0)</f>
        <v>1</v>
      </c>
      <c r="K24" t="str">
        <f t="shared" si="1"/>
        <v>33||['add']||spacy/en_core_web_sm||C15</v>
      </c>
      <c r="L24">
        <f>IF(COUNTIF($K$2:K24, K24)=1, 1, 0)</f>
        <v>1</v>
      </c>
      <c r="M24" t="str">
        <f t="shared" si="6"/>
        <v>33||['add']||spacy/en_core_web_sm||M1</v>
      </c>
      <c r="N24">
        <f>IF(COUNTIF($M$2:M24, M24)=1, 1, 0)</f>
        <v>1</v>
      </c>
      <c r="O24" t="str">
        <f t="shared" si="7"/>
        <v>33||['add']||spacy/en_core_web_sm||T1</v>
      </c>
      <c r="P24">
        <f>IF(COUNTIF($O$2:O24, O24)=1, 1, 0)</f>
        <v>1</v>
      </c>
      <c r="Q24" t="str">
        <f t="shared" si="2"/>
        <v>22||C15</v>
      </c>
      <c r="R24">
        <f>IF(COUNTIF($Q$2:Q24, Q24)=1, 1, 0)</f>
        <v>1</v>
      </c>
      <c r="S24" t="str">
        <f t="shared" si="3"/>
        <v>22||M1</v>
      </c>
      <c r="T24">
        <f>IF(COUNTIF($S$2:S24, S24)=1, 1, 0)</f>
        <v>1</v>
      </c>
      <c r="U24" t="str">
        <f t="shared" si="4"/>
        <v>22||T1</v>
      </c>
      <c r="V24">
        <f>IF(COUNTIF($U$2:U24, U24)=1, 1, 0)</f>
        <v>1</v>
      </c>
      <c r="W24" t="s">
        <v>44</v>
      </c>
      <c r="X24" t="s">
        <v>308</v>
      </c>
      <c r="Y24" t="str">
        <f>_xlfn.XLOOKUP(X24, codes!A:A, codes!F:F, "")</f>
        <v>M1</v>
      </c>
      <c r="Z24" t="str">
        <f>_xlfn.XLOOKUP(Y24, 'sub-themes'!A:A, 'sub-themes'!H:H, "")</f>
        <v>T1</v>
      </c>
    </row>
    <row r="25" spans="1:26" x14ac:dyDescent="0.2">
      <c r="A25">
        <v>23</v>
      </c>
      <c r="B25">
        <v>33</v>
      </c>
      <c r="C25" t="s">
        <v>7</v>
      </c>
      <c r="D25">
        <v>1</v>
      </c>
      <c r="E25">
        <v>1</v>
      </c>
      <c r="F25" t="s">
        <v>8</v>
      </c>
      <c r="G25" t="s">
        <v>43</v>
      </c>
      <c r="H25" t="str">
        <f t="shared" si="5"/>
        <v>spacy/en_core_web_sm</v>
      </c>
      <c r="I25" t="str">
        <f t="shared" si="0"/>
        <v>33||['add']||spacy/en_core_web_sm</v>
      </c>
      <c r="J25">
        <f>IF(COUNTIF($I$2:I25, I25)=1, 1, 0)</f>
        <v>0</v>
      </c>
      <c r="K25" t="str">
        <f t="shared" si="1"/>
        <v>33||['add']||spacy/en_core_web_sm||C15</v>
      </c>
      <c r="L25">
        <f>IF(COUNTIF($K$2:K25, K25)=1, 1, 0)</f>
        <v>0</v>
      </c>
      <c r="M25" t="str">
        <f t="shared" si="6"/>
        <v>33||['add']||spacy/en_core_web_sm||M1</v>
      </c>
      <c r="N25">
        <f>IF(COUNTIF($M$2:M25, M25)=1, 1, 0)</f>
        <v>0</v>
      </c>
      <c r="O25" t="str">
        <f t="shared" si="7"/>
        <v>33||['add']||spacy/en_core_web_sm||T1</v>
      </c>
      <c r="P25">
        <f>IF(COUNTIF($O$2:O25, O25)=1, 1, 0)</f>
        <v>0</v>
      </c>
      <c r="Q25" t="str">
        <f t="shared" si="2"/>
        <v>23||C15</v>
      </c>
      <c r="R25">
        <f>IF(COUNTIF($Q$2:Q25, Q25)=1, 1, 0)</f>
        <v>1</v>
      </c>
      <c r="S25" t="str">
        <f t="shared" si="3"/>
        <v>23||M1</v>
      </c>
      <c r="T25">
        <f>IF(COUNTIF($S$2:S25, S25)=1, 1, 0)</f>
        <v>1</v>
      </c>
      <c r="U25" t="str">
        <f t="shared" si="4"/>
        <v>23||T1</v>
      </c>
      <c r="V25">
        <f>IF(COUNTIF($U$2:U25, U25)=1, 1, 0)</f>
        <v>1</v>
      </c>
      <c r="W25" t="s">
        <v>44</v>
      </c>
      <c r="X25" t="s">
        <v>308</v>
      </c>
      <c r="Y25" t="str">
        <f>_xlfn.XLOOKUP(X25, codes!A:A, codes!F:F, "")</f>
        <v>M1</v>
      </c>
      <c r="Z25" t="str">
        <f>_xlfn.XLOOKUP(Y25, 'sub-themes'!A:A, 'sub-themes'!H:H, "")</f>
        <v>T1</v>
      </c>
    </row>
    <row r="26" spans="1:26" x14ac:dyDescent="0.2">
      <c r="A26">
        <v>24</v>
      </c>
      <c r="B26">
        <v>39</v>
      </c>
      <c r="C26" t="s">
        <v>15</v>
      </c>
      <c r="D26">
        <v>1</v>
      </c>
      <c r="E26">
        <v>1</v>
      </c>
      <c r="F26" t="s">
        <v>8</v>
      </c>
      <c r="G26" t="s">
        <v>16</v>
      </c>
      <c r="H26" t="str">
        <f t="shared" si="5"/>
        <v>mahmoodlab/titan</v>
      </c>
      <c r="I26" t="str">
        <f t="shared" si="0"/>
        <v>39||['add']||mahmoodlab/titan</v>
      </c>
      <c r="J26">
        <f>IF(COUNTIF($I$2:I26, I26)=1, 1, 0)</f>
        <v>1</v>
      </c>
      <c r="K26" t="str">
        <f t="shared" si="1"/>
        <v>39||['add']||mahmoodlab/titan||C16</v>
      </c>
      <c r="L26">
        <f>IF(COUNTIF($K$2:K26, K26)=1, 1, 0)</f>
        <v>1</v>
      </c>
      <c r="M26" t="str">
        <f t="shared" si="6"/>
        <v>39||['add']||mahmoodlab/titan||M13</v>
      </c>
      <c r="N26">
        <f>IF(COUNTIF($M$2:M26, M26)=1, 1, 0)</f>
        <v>1</v>
      </c>
      <c r="O26" t="str">
        <f t="shared" si="7"/>
        <v>39||['add']||mahmoodlab/titan||T1</v>
      </c>
      <c r="P26">
        <f>IF(COUNTIF($O$2:O26, O26)=1, 1, 0)</f>
        <v>1</v>
      </c>
      <c r="Q26" t="str">
        <f t="shared" si="2"/>
        <v>24||C16</v>
      </c>
      <c r="R26">
        <f>IF(COUNTIF($Q$2:Q26, Q26)=1, 1, 0)</f>
        <v>1</v>
      </c>
      <c r="S26" t="str">
        <f t="shared" si="3"/>
        <v>24||M13</v>
      </c>
      <c r="T26">
        <f>IF(COUNTIF($S$2:S26, S26)=1, 1, 0)</f>
        <v>1</v>
      </c>
      <c r="U26" t="str">
        <f t="shared" si="4"/>
        <v>24||T1</v>
      </c>
      <c r="V26">
        <f>IF(COUNTIF($U$2:U26, U26)=1, 1, 0)</f>
        <v>1</v>
      </c>
      <c r="W26" t="s">
        <v>45</v>
      </c>
      <c r="X26" t="s">
        <v>310</v>
      </c>
      <c r="Y26" t="str">
        <f>_xlfn.XLOOKUP(X26, codes!A:A, codes!F:F, "")</f>
        <v>M13</v>
      </c>
      <c r="Z26" t="str">
        <f>_xlfn.XLOOKUP(Y26, 'sub-themes'!A:A, 'sub-themes'!H:H, "")</f>
        <v>T1</v>
      </c>
    </row>
    <row r="27" spans="1:26" x14ac:dyDescent="0.2">
      <c r="A27">
        <v>25</v>
      </c>
      <c r="B27">
        <v>39</v>
      </c>
      <c r="C27" t="s">
        <v>11</v>
      </c>
      <c r="D27">
        <v>1</v>
      </c>
      <c r="E27">
        <v>1</v>
      </c>
      <c r="F27" t="s">
        <v>8</v>
      </c>
      <c r="G27" t="s">
        <v>16</v>
      </c>
      <c r="H27" t="str">
        <f t="shared" si="5"/>
        <v>mahmoodlab/titan</v>
      </c>
      <c r="I27" t="str">
        <f t="shared" si="0"/>
        <v>39||['add']||mahmoodlab/titan</v>
      </c>
      <c r="J27">
        <f>IF(COUNTIF($I$2:I27, I27)=1, 1, 0)</f>
        <v>0</v>
      </c>
      <c r="K27" t="str">
        <f t="shared" si="1"/>
        <v>39||['add']||mahmoodlab/titan||C16</v>
      </c>
      <c r="L27">
        <f>IF(COUNTIF($K$2:K27, K27)=1, 1, 0)</f>
        <v>0</v>
      </c>
      <c r="M27" t="str">
        <f t="shared" si="6"/>
        <v>39||['add']||mahmoodlab/titan||M13</v>
      </c>
      <c r="N27">
        <f>IF(COUNTIF($M$2:M27, M27)=1, 1, 0)</f>
        <v>0</v>
      </c>
      <c r="O27" t="str">
        <f t="shared" si="7"/>
        <v>39||['add']||mahmoodlab/titan||T1</v>
      </c>
      <c r="P27">
        <f>IF(COUNTIF($O$2:O27, O27)=1, 1, 0)</f>
        <v>0</v>
      </c>
      <c r="Q27" t="str">
        <f t="shared" si="2"/>
        <v>25||C16</v>
      </c>
      <c r="R27">
        <f>IF(COUNTIF($Q$2:Q27, Q27)=1, 1, 0)</f>
        <v>1</v>
      </c>
      <c r="S27" t="str">
        <f t="shared" si="3"/>
        <v>25||M13</v>
      </c>
      <c r="T27">
        <f>IF(COUNTIF($S$2:S27, S27)=1, 1, 0)</f>
        <v>1</v>
      </c>
      <c r="U27" t="str">
        <f t="shared" si="4"/>
        <v>25||T1</v>
      </c>
      <c r="V27">
        <f>IF(COUNTIF($U$2:U27, U27)=1, 1, 0)</f>
        <v>1</v>
      </c>
      <c r="W27" t="s">
        <v>46</v>
      </c>
      <c r="X27" t="s">
        <v>310</v>
      </c>
      <c r="Y27" t="str">
        <f>_xlfn.XLOOKUP(X27, codes!A:A, codes!F:F, "")</f>
        <v>M13</v>
      </c>
      <c r="Z27" t="str">
        <f>_xlfn.XLOOKUP(Y27, 'sub-themes'!A:A, 'sub-themes'!H:H, "")</f>
        <v>T1</v>
      </c>
    </row>
    <row r="28" spans="1:26" x14ac:dyDescent="0.2">
      <c r="A28">
        <v>26</v>
      </c>
      <c r="B28">
        <v>50</v>
      </c>
      <c r="C28" t="s">
        <v>47</v>
      </c>
      <c r="D28">
        <v>1</v>
      </c>
      <c r="E28">
        <v>1</v>
      </c>
      <c r="F28" t="s">
        <v>8</v>
      </c>
      <c r="G28" t="s">
        <v>48</v>
      </c>
      <c r="H28" t="str">
        <f t="shared" si="5"/>
        <v>sentence-transformers/all-minilm-l6-v2</v>
      </c>
      <c r="I28" t="str">
        <f t="shared" si="0"/>
        <v>50||['add']||sentence-transformers/all-minilm-l6-v2</v>
      </c>
      <c r="J28">
        <f>IF(COUNTIF($I$2:I28, I28)=1, 1, 0)</f>
        <v>1</v>
      </c>
      <c r="K28" t="str">
        <f t="shared" si="1"/>
        <v>50||['add']||sentence-transformers/all-minilm-l6-v2||C17</v>
      </c>
      <c r="L28">
        <f>IF(COUNTIF($K$2:K28, K28)=1, 1, 0)</f>
        <v>1</v>
      </c>
      <c r="M28" t="str">
        <f t="shared" si="6"/>
        <v>50||['add']||sentence-transformers/all-minilm-l6-v2||M1</v>
      </c>
      <c r="N28">
        <f>IF(COUNTIF($M$2:M28, M28)=1, 1, 0)</f>
        <v>1</v>
      </c>
      <c r="O28" t="str">
        <f t="shared" si="7"/>
        <v>50||['add']||sentence-transformers/all-minilm-l6-v2||T1</v>
      </c>
      <c r="P28">
        <f>IF(COUNTIF($O$2:O28, O28)=1, 1, 0)</f>
        <v>1</v>
      </c>
      <c r="Q28" t="str">
        <f t="shared" si="2"/>
        <v>26||C17</v>
      </c>
      <c r="R28">
        <f>IF(COUNTIF($Q$2:Q28, Q28)=1, 1, 0)</f>
        <v>1</v>
      </c>
      <c r="S28" t="str">
        <f t="shared" si="3"/>
        <v>26||M1</v>
      </c>
      <c r="T28">
        <f>IF(COUNTIF($S$2:S28, S28)=1, 1, 0)</f>
        <v>1</v>
      </c>
      <c r="U28" t="str">
        <f t="shared" si="4"/>
        <v>26||T1</v>
      </c>
      <c r="V28">
        <f>IF(COUNTIF($U$2:U28, U28)=1, 1, 0)</f>
        <v>1</v>
      </c>
      <c r="W28" t="s">
        <v>49</v>
      </c>
      <c r="X28" t="s">
        <v>312</v>
      </c>
      <c r="Y28" t="str">
        <f>_xlfn.XLOOKUP(X28, codes!A:A, codes!F:F, "")</f>
        <v>M1</v>
      </c>
      <c r="Z28" t="str">
        <f>_xlfn.XLOOKUP(Y28, 'sub-themes'!A:A, 'sub-themes'!H:H, "")</f>
        <v>T1</v>
      </c>
    </row>
    <row r="29" spans="1:26" x14ac:dyDescent="0.2">
      <c r="A29">
        <v>27</v>
      </c>
      <c r="B29">
        <v>60</v>
      </c>
      <c r="C29" t="s">
        <v>15</v>
      </c>
      <c r="D29">
        <v>1</v>
      </c>
      <c r="E29">
        <v>1</v>
      </c>
      <c r="F29" t="s">
        <v>8</v>
      </c>
      <c r="G29" t="s">
        <v>50</v>
      </c>
      <c r="H29" t="str">
        <f t="shared" si="5"/>
        <v>deepseek-ai/deepseek-v2-lite</v>
      </c>
      <c r="I29" t="str">
        <f t="shared" si="0"/>
        <v>60||['add']||deepseek-ai/deepseek-v2-lite</v>
      </c>
      <c r="J29">
        <f>IF(COUNTIF($I$2:I29, I29)=1, 1, 0)</f>
        <v>1</v>
      </c>
      <c r="K29" t="str">
        <f t="shared" si="1"/>
        <v>60||['add']||deepseek-ai/deepseek-v2-lite||C18</v>
      </c>
      <c r="L29">
        <f>IF(COUNTIF($K$2:K29, K29)=1, 1, 0)</f>
        <v>1</v>
      </c>
      <c r="M29" t="str">
        <f t="shared" si="6"/>
        <v>60||['add']||deepseek-ai/deepseek-v2-lite||M13</v>
      </c>
      <c r="N29">
        <f>IF(COUNTIF($M$2:M29, M29)=1, 1, 0)</f>
        <v>1</v>
      </c>
      <c r="O29" t="str">
        <f t="shared" si="7"/>
        <v>60||['add']||deepseek-ai/deepseek-v2-lite||T1</v>
      </c>
      <c r="P29">
        <f>IF(COUNTIF($O$2:O29, O29)=1, 1, 0)</f>
        <v>1</v>
      </c>
      <c r="Q29" t="str">
        <f t="shared" si="2"/>
        <v>27||C18</v>
      </c>
      <c r="R29">
        <f>IF(COUNTIF($Q$2:Q29, Q29)=1, 1, 0)</f>
        <v>1</v>
      </c>
      <c r="S29" t="str">
        <f t="shared" si="3"/>
        <v>27||M13</v>
      </c>
      <c r="T29">
        <f>IF(COUNTIF($S$2:S29, S29)=1, 1, 0)</f>
        <v>1</v>
      </c>
      <c r="U29" t="str">
        <f t="shared" si="4"/>
        <v>27||T1</v>
      </c>
      <c r="V29">
        <f>IF(COUNTIF($U$2:U29, U29)=1, 1, 0)</f>
        <v>1</v>
      </c>
      <c r="W29" t="s">
        <v>51</v>
      </c>
      <c r="X29" t="s">
        <v>313</v>
      </c>
      <c r="Y29" t="str">
        <f>_xlfn.XLOOKUP(X29, codes!A:A, codes!F:F, "")</f>
        <v>M13</v>
      </c>
      <c r="Z29" t="str">
        <f>_xlfn.XLOOKUP(Y29, 'sub-themes'!A:A, 'sub-themes'!H:H, "")</f>
        <v>T1</v>
      </c>
    </row>
    <row r="30" spans="1:26" x14ac:dyDescent="0.2">
      <c r="A30">
        <v>28</v>
      </c>
      <c r="B30">
        <v>60</v>
      </c>
      <c r="C30" t="s">
        <v>19</v>
      </c>
      <c r="D30">
        <v>1</v>
      </c>
      <c r="E30">
        <v>1</v>
      </c>
      <c r="F30" t="s">
        <v>8</v>
      </c>
      <c r="G30" t="s">
        <v>50</v>
      </c>
      <c r="H30" t="str">
        <f t="shared" si="5"/>
        <v>deepseek-ai/deepseek-v2-lite</v>
      </c>
      <c r="I30" t="str">
        <f t="shared" si="0"/>
        <v>60||['add']||deepseek-ai/deepseek-v2-lite</v>
      </c>
      <c r="J30">
        <f>IF(COUNTIF($I$2:I30, I30)=1, 1, 0)</f>
        <v>0</v>
      </c>
      <c r="K30" t="str">
        <f t="shared" si="1"/>
        <v>60||['add']||deepseek-ai/deepseek-v2-lite||C18</v>
      </c>
      <c r="L30">
        <f>IF(COUNTIF($K$2:K30, K30)=1, 1, 0)</f>
        <v>0</v>
      </c>
      <c r="M30" t="str">
        <f t="shared" si="6"/>
        <v>60||['add']||deepseek-ai/deepseek-v2-lite||M13</v>
      </c>
      <c r="N30">
        <f>IF(COUNTIF($M$2:M30, M30)=1, 1, 0)</f>
        <v>0</v>
      </c>
      <c r="O30" t="str">
        <f t="shared" si="7"/>
        <v>60||['add']||deepseek-ai/deepseek-v2-lite||T1</v>
      </c>
      <c r="P30">
        <f>IF(COUNTIF($O$2:O30, O30)=1, 1, 0)</f>
        <v>0</v>
      </c>
      <c r="Q30" t="str">
        <f t="shared" si="2"/>
        <v>28||C18</v>
      </c>
      <c r="R30">
        <f>IF(COUNTIF($Q$2:Q30, Q30)=1, 1, 0)</f>
        <v>1</v>
      </c>
      <c r="S30" t="str">
        <f t="shared" si="3"/>
        <v>28||M13</v>
      </c>
      <c r="T30">
        <f>IF(COUNTIF($S$2:S30, S30)=1, 1, 0)</f>
        <v>1</v>
      </c>
      <c r="U30" t="str">
        <f t="shared" si="4"/>
        <v>28||T1</v>
      </c>
      <c r="V30">
        <f>IF(COUNTIF($U$2:U30, U30)=1, 1, 0)</f>
        <v>1</v>
      </c>
      <c r="W30" t="s">
        <v>51</v>
      </c>
      <c r="X30" t="s">
        <v>313</v>
      </c>
      <c r="Y30" t="str">
        <f>_xlfn.XLOOKUP(X30, codes!A:A, codes!F:F, "")</f>
        <v>M13</v>
      </c>
      <c r="Z30" t="str">
        <f>_xlfn.XLOOKUP(Y30, 'sub-themes'!A:A, 'sub-themes'!H:H, "")</f>
        <v>T1</v>
      </c>
    </row>
    <row r="31" spans="1:26" x14ac:dyDescent="0.2">
      <c r="A31">
        <v>29</v>
      </c>
      <c r="B31">
        <v>61</v>
      </c>
      <c r="C31" t="s">
        <v>15</v>
      </c>
      <c r="D31">
        <v>1</v>
      </c>
      <c r="E31">
        <v>1</v>
      </c>
      <c r="F31" t="s">
        <v>8</v>
      </c>
      <c r="G31" t="s">
        <v>52</v>
      </c>
      <c r="H31" t="str">
        <f t="shared" si="5"/>
        <v>timm/vit_so400m_patch14_siglip_384.webli</v>
      </c>
      <c r="I31" t="str">
        <f t="shared" si="0"/>
        <v>61||['add']||timm/vit_so400m_patch14_siglip_384.webli</v>
      </c>
      <c r="J31">
        <f>IF(COUNTIF($I$2:I31, I31)=1, 1, 0)</f>
        <v>1</v>
      </c>
      <c r="K31" t="str">
        <f t="shared" si="1"/>
        <v>61||['add']||timm/vit_so400m_patch14_siglip_384.webli||C24</v>
      </c>
      <c r="L31">
        <f>IF(COUNTIF($K$2:K31, K31)=1, 1, 0)</f>
        <v>1</v>
      </c>
      <c r="M31" t="str">
        <f t="shared" si="6"/>
        <v>61||['add']||timm/vit_so400m_patch14_siglip_384.webli||M6</v>
      </c>
      <c r="N31">
        <f>IF(COUNTIF($M$2:M31, M31)=1, 1, 0)</f>
        <v>1</v>
      </c>
      <c r="O31" t="str">
        <f t="shared" si="7"/>
        <v>61||['add']||timm/vit_so400m_patch14_siglip_384.webli||T4</v>
      </c>
      <c r="P31">
        <f>IF(COUNTIF($O$2:O31, O31)=1, 1, 0)</f>
        <v>1</v>
      </c>
      <c r="Q31" t="str">
        <f t="shared" si="2"/>
        <v>29||C24</v>
      </c>
      <c r="R31">
        <f>IF(COUNTIF($Q$2:Q31, Q31)=1, 1, 0)</f>
        <v>1</v>
      </c>
      <c r="S31" t="str">
        <f t="shared" si="3"/>
        <v>29||M6</v>
      </c>
      <c r="T31">
        <f>IF(COUNTIF($S$2:S31, S31)=1, 1, 0)</f>
        <v>1</v>
      </c>
      <c r="U31" t="str">
        <f t="shared" si="4"/>
        <v>29||T4</v>
      </c>
      <c r="V31">
        <f>IF(COUNTIF($U$2:U31, U31)=1, 1, 0)</f>
        <v>1</v>
      </c>
      <c r="W31" t="s">
        <v>53</v>
      </c>
      <c r="X31" t="s">
        <v>323</v>
      </c>
      <c r="Y31" t="str">
        <f>_xlfn.XLOOKUP(X31, codes!A:A, codes!F:F, "")</f>
        <v>M6</v>
      </c>
      <c r="Z31" t="str">
        <f>_xlfn.XLOOKUP(Y31, 'sub-themes'!A:A, 'sub-themes'!H:H, "")</f>
        <v>T4</v>
      </c>
    </row>
    <row r="32" spans="1:26" x14ac:dyDescent="0.2">
      <c r="A32">
        <v>30</v>
      </c>
      <c r="B32">
        <v>61</v>
      </c>
      <c r="C32" t="s">
        <v>7</v>
      </c>
      <c r="D32">
        <v>1</v>
      </c>
      <c r="E32">
        <v>1</v>
      </c>
      <c r="F32" t="s">
        <v>8</v>
      </c>
      <c r="G32" t="s">
        <v>52</v>
      </c>
      <c r="H32" t="str">
        <f t="shared" si="5"/>
        <v>timm/vit_so400m_patch14_siglip_384.webli</v>
      </c>
      <c r="I32" t="str">
        <f t="shared" si="0"/>
        <v>61||['add']||timm/vit_so400m_patch14_siglip_384.webli</v>
      </c>
      <c r="J32">
        <f>IF(COUNTIF($I$2:I32, I32)=1, 1, 0)</f>
        <v>0</v>
      </c>
      <c r="K32" t="str">
        <f t="shared" si="1"/>
        <v>61||['add']||timm/vit_so400m_patch14_siglip_384.webli||C24</v>
      </c>
      <c r="L32">
        <f>IF(COUNTIF($K$2:K32, K32)=1, 1, 0)</f>
        <v>0</v>
      </c>
      <c r="M32" t="str">
        <f t="shared" si="6"/>
        <v>61||['add']||timm/vit_so400m_patch14_siglip_384.webli||M6</v>
      </c>
      <c r="N32">
        <f>IF(COUNTIF($M$2:M32, M32)=1, 1, 0)</f>
        <v>0</v>
      </c>
      <c r="O32" t="str">
        <f t="shared" si="7"/>
        <v>61||['add']||timm/vit_so400m_patch14_siglip_384.webli||T4</v>
      </c>
      <c r="P32">
        <f>IF(COUNTIF($O$2:O32, O32)=1, 1, 0)</f>
        <v>0</v>
      </c>
      <c r="Q32" t="str">
        <f t="shared" si="2"/>
        <v>30||C24</v>
      </c>
      <c r="R32">
        <f>IF(COUNTIF($Q$2:Q32, Q32)=1, 1, 0)</f>
        <v>1</v>
      </c>
      <c r="S32" t="str">
        <f t="shared" si="3"/>
        <v>30||M6</v>
      </c>
      <c r="T32">
        <f>IF(COUNTIF($S$2:S32, S32)=1, 1, 0)</f>
        <v>1</v>
      </c>
      <c r="U32" t="str">
        <f t="shared" si="4"/>
        <v>30||T4</v>
      </c>
      <c r="V32">
        <f>IF(COUNTIF($U$2:U32, U32)=1, 1, 0)</f>
        <v>1</v>
      </c>
      <c r="W32" t="s">
        <v>53</v>
      </c>
      <c r="X32" t="s">
        <v>323</v>
      </c>
      <c r="Y32" t="str">
        <f>_xlfn.XLOOKUP(X32, codes!A:A, codes!F:F, "")</f>
        <v>M6</v>
      </c>
      <c r="Z32" t="str">
        <f>_xlfn.XLOOKUP(Y32, 'sub-themes'!A:A, 'sub-themes'!H:H, "")</f>
        <v>T4</v>
      </c>
    </row>
    <row r="33" spans="1:26" x14ac:dyDescent="0.2">
      <c r="A33">
        <v>31</v>
      </c>
      <c r="B33">
        <v>61</v>
      </c>
      <c r="C33" t="s">
        <v>19</v>
      </c>
      <c r="D33">
        <v>1</v>
      </c>
      <c r="E33">
        <v>1</v>
      </c>
      <c r="F33" t="s">
        <v>8</v>
      </c>
      <c r="G33" t="s">
        <v>52</v>
      </c>
      <c r="H33" t="str">
        <f t="shared" si="5"/>
        <v>timm/vit_so400m_patch14_siglip_384.webli</v>
      </c>
      <c r="I33" t="str">
        <f t="shared" si="0"/>
        <v>61||['add']||timm/vit_so400m_patch14_siglip_384.webli</v>
      </c>
      <c r="J33">
        <f>IF(COUNTIF($I$2:I33, I33)=1, 1, 0)</f>
        <v>0</v>
      </c>
      <c r="K33" t="str">
        <f t="shared" si="1"/>
        <v>61||['add']||timm/vit_so400m_patch14_siglip_384.webli||C65</v>
      </c>
      <c r="L33">
        <f>IF(COUNTIF($K$2:K33, K33)=1, 1, 0)</f>
        <v>1</v>
      </c>
      <c r="M33" t="str">
        <f t="shared" si="6"/>
        <v>61||['add']||timm/vit_so400m_patch14_siglip_384.webli||M25</v>
      </c>
      <c r="N33">
        <f>IF(COUNTIF($M$2:M33, M33)=1, 1, 0)</f>
        <v>1</v>
      </c>
      <c r="O33" t="str">
        <f t="shared" si="7"/>
        <v>61||['add']||timm/vit_so400m_patch14_siglip_384.webli||T1</v>
      </c>
      <c r="P33">
        <f>IF(COUNTIF($O$2:O33, O33)=1, 1, 0)</f>
        <v>1</v>
      </c>
      <c r="Q33" t="str">
        <f t="shared" si="2"/>
        <v>31||C65</v>
      </c>
      <c r="R33">
        <f>IF(COUNTIF($Q$2:Q33, Q33)=1, 1, 0)</f>
        <v>1</v>
      </c>
      <c r="S33" t="str">
        <f t="shared" si="3"/>
        <v>31||M25</v>
      </c>
      <c r="T33">
        <f>IF(COUNTIF($S$2:S33, S33)=1, 1, 0)</f>
        <v>1</v>
      </c>
      <c r="U33" t="str">
        <f t="shared" si="4"/>
        <v>31||T1</v>
      </c>
      <c r="V33">
        <f>IF(COUNTIF($U$2:U33, U33)=1, 1, 0)</f>
        <v>1</v>
      </c>
      <c r="W33" t="s">
        <v>515</v>
      </c>
      <c r="X33" t="s">
        <v>512</v>
      </c>
      <c r="Y33" t="str">
        <f>_xlfn.XLOOKUP(X33, codes!A:A, codes!F:F, "")</f>
        <v>M25</v>
      </c>
      <c r="Z33" t="str">
        <f>_xlfn.XLOOKUP(Y33, 'sub-themes'!A:A, 'sub-themes'!H:H, "")</f>
        <v>T1</v>
      </c>
    </row>
    <row r="34" spans="1:26" x14ac:dyDescent="0.2">
      <c r="A34">
        <v>32</v>
      </c>
      <c r="B34">
        <v>61</v>
      </c>
      <c r="C34" t="s">
        <v>28</v>
      </c>
      <c r="D34">
        <v>1</v>
      </c>
      <c r="E34">
        <v>1</v>
      </c>
      <c r="F34" t="s">
        <v>8</v>
      </c>
      <c r="G34" t="s">
        <v>52</v>
      </c>
      <c r="H34" t="str">
        <f t="shared" si="5"/>
        <v>timm/vit_so400m_patch14_siglip_384.webli</v>
      </c>
      <c r="I34" t="str">
        <f t="shared" ref="I34:I63" si="8">B34 &amp; "||" &amp; F34 &amp; "||" &amp; H34</f>
        <v>61||['add']||timm/vit_so400m_patch14_siglip_384.webli</v>
      </c>
      <c r="J34">
        <f>IF(COUNTIF($I$2:I34, I34)=1, 1, 0)</f>
        <v>0</v>
      </c>
      <c r="K34" t="str">
        <f t="shared" si="1"/>
        <v>61||['add']||timm/vit_so400m_patch14_siglip_384.webli||C65</v>
      </c>
      <c r="L34">
        <f>IF(COUNTIF($K$2:K34, K34)=1, 1, 0)</f>
        <v>0</v>
      </c>
      <c r="M34" t="str">
        <f t="shared" si="6"/>
        <v>61||['add']||timm/vit_so400m_patch14_siglip_384.webli||M25</v>
      </c>
      <c r="N34">
        <f>IF(COUNTIF($M$2:M34, M34)=1, 1, 0)</f>
        <v>0</v>
      </c>
      <c r="O34" t="str">
        <f t="shared" si="7"/>
        <v>61||['add']||timm/vit_so400m_patch14_siglip_384.webli||T1</v>
      </c>
      <c r="P34">
        <f>IF(COUNTIF($O$2:O34, O34)=1, 1, 0)</f>
        <v>0</v>
      </c>
      <c r="Q34" t="str">
        <f t="shared" si="2"/>
        <v>32||C65</v>
      </c>
      <c r="R34">
        <f>IF(COUNTIF($Q$2:Q34, Q34)=1, 1, 0)</f>
        <v>1</v>
      </c>
      <c r="S34" t="str">
        <f t="shared" si="3"/>
        <v>32||M25</v>
      </c>
      <c r="T34">
        <f>IF(COUNTIF($S$2:S34, S34)=1, 1, 0)</f>
        <v>1</v>
      </c>
      <c r="U34" t="str">
        <f t="shared" si="4"/>
        <v>32||T1</v>
      </c>
      <c r="V34">
        <f>IF(COUNTIF($U$2:U34, U34)=1, 1, 0)</f>
        <v>1</v>
      </c>
      <c r="W34" t="s">
        <v>514</v>
      </c>
      <c r="X34" t="s">
        <v>512</v>
      </c>
      <c r="Y34" t="str">
        <f>_xlfn.XLOOKUP(X34, codes!A:A, codes!F:F, "")</f>
        <v>M25</v>
      </c>
      <c r="Z34" t="str">
        <f>_xlfn.XLOOKUP(Y34, 'sub-themes'!A:A, 'sub-themes'!H:H, "")</f>
        <v>T1</v>
      </c>
    </row>
    <row r="35" spans="1:26" x14ac:dyDescent="0.2">
      <c r="A35">
        <v>33</v>
      </c>
      <c r="B35">
        <v>62</v>
      </c>
      <c r="C35" t="s">
        <v>7</v>
      </c>
      <c r="D35">
        <v>1</v>
      </c>
      <c r="E35">
        <v>1</v>
      </c>
      <c r="F35" t="s">
        <v>8</v>
      </c>
      <c r="G35" t="s">
        <v>54</v>
      </c>
      <c r="H35" t="str">
        <f t="shared" si="5"/>
        <v>rendeirolab/lazyslide-models</v>
      </c>
      <c r="I35" t="str">
        <f t="shared" si="8"/>
        <v>62||['add']||rendeirolab/lazyslide-models</v>
      </c>
      <c r="J35">
        <f>IF(COUNTIF($I$2:I35, I35)=1, 1, 0)</f>
        <v>1</v>
      </c>
      <c r="K35" t="str">
        <f t="shared" si="1"/>
        <v>62||['add']||rendeirolab/lazyslide-models||C19</v>
      </c>
      <c r="L35">
        <f>IF(COUNTIF($K$2:K35, K35)=1, 1, 0)</f>
        <v>1</v>
      </c>
      <c r="M35" t="str">
        <f t="shared" si="6"/>
        <v>62||['add']||rendeirolab/lazyslide-models||M4</v>
      </c>
      <c r="N35">
        <f>IF(COUNTIF($M$2:M35, M35)=1, 1, 0)</f>
        <v>1</v>
      </c>
      <c r="O35" t="str">
        <f t="shared" si="7"/>
        <v>62||['add']||rendeirolab/lazyslide-models||T1</v>
      </c>
      <c r="P35">
        <f>IF(COUNTIF($O$2:O35, O35)=1, 1, 0)</f>
        <v>1</v>
      </c>
      <c r="Q35" t="str">
        <f t="shared" si="2"/>
        <v>33||C19</v>
      </c>
      <c r="R35">
        <f>IF(COUNTIF($Q$2:Q35, Q35)=1, 1, 0)</f>
        <v>1</v>
      </c>
      <c r="S35" t="str">
        <f t="shared" si="3"/>
        <v>33||M4</v>
      </c>
      <c r="T35">
        <f>IF(COUNTIF($S$2:S35, S35)=1, 1, 0)</f>
        <v>1</v>
      </c>
      <c r="U35" t="str">
        <f t="shared" si="4"/>
        <v>33||T1</v>
      </c>
      <c r="V35">
        <f>IF(COUNTIF($U$2:U35, U35)=1, 1, 0)</f>
        <v>1</v>
      </c>
      <c r="W35" t="s">
        <v>55</v>
      </c>
      <c r="X35" t="s">
        <v>316</v>
      </c>
      <c r="Y35" t="str">
        <f>_xlfn.XLOOKUP(X35, codes!A:A, codes!F:F, "")</f>
        <v>M4</v>
      </c>
      <c r="Z35" t="str">
        <f>_xlfn.XLOOKUP(Y35, 'sub-themes'!A:A, 'sub-themes'!H:H, "")</f>
        <v>T1</v>
      </c>
    </row>
    <row r="36" spans="1:26" x14ac:dyDescent="0.2">
      <c r="A36">
        <v>34</v>
      </c>
      <c r="B36">
        <v>64</v>
      </c>
      <c r="C36" t="s">
        <v>15</v>
      </c>
      <c r="D36">
        <v>1</v>
      </c>
      <c r="E36">
        <v>1</v>
      </c>
      <c r="F36" t="s">
        <v>8</v>
      </c>
      <c r="G36" t="s">
        <v>48</v>
      </c>
      <c r="H36" t="str">
        <f t="shared" si="5"/>
        <v>sentence-transformers/all-minilm-l6-v2</v>
      </c>
      <c r="I36" t="str">
        <f t="shared" si="8"/>
        <v>64||['add']||sentence-transformers/all-minilm-l6-v2</v>
      </c>
      <c r="J36">
        <f>IF(COUNTIF($I$2:I36, I36)=1, 1, 0)</f>
        <v>1</v>
      </c>
      <c r="K36" t="str">
        <f t="shared" si="1"/>
        <v>64||['add']||sentence-transformers/all-minilm-l6-v2||C20</v>
      </c>
      <c r="L36">
        <f>IF(COUNTIF($K$2:K36, K36)=1, 1, 0)</f>
        <v>1</v>
      </c>
      <c r="M36" t="str">
        <f t="shared" si="6"/>
        <v>64||['add']||sentence-transformers/all-minilm-l6-v2||M10</v>
      </c>
      <c r="N36">
        <f>IF(COUNTIF($M$2:M36, M36)=1, 1, 0)</f>
        <v>1</v>
      </c>
      <c r="O36" t="str">
        <f t="shared" si="7"/>
        <v>64||['add']||sentence-transformers/all-minilm-l6-v2||T3</v>
      </c>
      <c r="P36">
        <f>IF(COUNTIF($O$2:O36, O36)=1, 1, 0)</f>
        <v>1</v>
      </c>
      <c r="Q36" t="str">
        <f t="shared" si="2"/>
        <v>34||C20</v>
      </c>
      <c r="R36">
        <f>IF(COUNTIF($Q$2:Q36, Q36)=1, 1, 0)</f>
        <v>1</v>
      </c>
      <c r="S36" t="str">
        <f t="shared" si="3"/>
        <v>34||M10</v>
      </c>
      <c r="T36">
        <f>IF(COUNTIF($S$2:S36, S36)=1, 1, 0)</f>
        <v>1</v>
      </c>
      <c r="U36" t="str">
        <f t="shared" si="4"/>
        <v>34||T3</v>
      </c>
      <c r="V36">
        <f>IF(COUNTIF($U$2:U36, U36)=1, 1, 0)</f>
        <v>1</v>
      </c>
      <c r="W36" t="s">
        <v>56</v>
      </c>
      <c r="X36" t="s">
        <v>318</v>
      </c>
      <c r="Y36" t="str">
        <f>_xlfn.XLOOKUP(X36, codes!A:A, codes!F:F, "")</f>
        <v>M10</v>
      </c>
      <c r="Z36" t="str">
        <f>_xlfn.XLOOKUP(Y36, 'sub-themes'!A:A, 'sub-themes'!H:H, "")</f>
        <v>T3</v>
      </c>
    </row>
    <row r="37" spans="1:26" x14ac:dyDescent="0.2">
      <c r="A37">
        <v>35</v>
      </c>
      <c r="B37">
        <v>64</v>
      </c>
      <c r="C37" t="s">
        <v>7</v>
      </c>
      <c r="D37">
        <v>1</v>
      </c>
      <c r="E37">
        <v>1</v>
      </c>
      <c r="F37" t="s">
        <v>8</v>
      </c>
      <c r="G37" t="s">
        <v>48</v>
      </c>
      <c r="H37" t="str">
        <f t="shared" si="5"/>
        <v>sentence-transformers/all-minilm-l6-v2</v>
      </c>
      <c r="I37" t="str">
        <f t="shared" si="8"/>
        <v>64||['add']||sentence-transformers/all-minilm-l6-v2</v>
      </c>
      <c r="J37">
        <f>IF(COUNTIF($I$2:I37, I37)=1, 1, 0)</f>
        <v>0</v>
      </c>
      <c r="K37" t="str">
        <f t="shared" si="1"/>
        <v>64||['add']||sentence-transformers/all-minilm-l6-v2||C20</v>
      </c>
      <c r="L37">
        <f>IF(COUNTIF($K$2:K37, K37)=1, 1, 0)</f>
        <v>0</v>
      </c>
      <c r="M37" t="str">
        <f t="shared" si="6"/>
        <v>64||['add']||sentence-transformers/all-minilm-l6-v2||M10</v>
      </c>
      <c r="N37">
        <f>IF(COUNTIF($M$2:M37, M37)=1, 1, 0)</f>
        <v>0</v>
      </c>
      <c r="O37" t="str">
        <f t="shared" si="7"/>
        <v>64||['add']||sentence-transformers/all-minilm-l6-v2||T3</v>
      </c>
      <c r="P37">
        <f>IF(COUNTIF($O$2:O37, O37)=1, 1, 0)</f>
        <v>0</v>
      </c>
      <c r="Q37" t="str">
        <f t="shared" si="2"/>
        <v>35||C20</v>
      </c>
      <c r="R37">
        <f>IF(COUNTIF($Q$2:Q37, Q37)=1, 1, 0)</f>
        <v>1</v>
      </c>
      <c r="S37" t="str">
        <f t="shared" si="3"/>
        <v>35||M10</v>
      </c>
      <c r="T37">
        <f>IF(COUNTIF($S$2:S37, S37)=1, 1, 0)</f>
        <v>1</v>
      </c>
      <c r="U37" t="str">
        <f t="shared" si="4"/>
        <v>35||T3</v>
      </c>
      <c r="V37">
        <f>IF(COUNTIF($U$2:U37, U37)=1, 1, 0)</f>
        <v>1</v>
      </c>
      <c r="W37" t="s">
        <v>57</v>
      </c>
      <c r="X37" t="s">
        <v>318</v>
      </c>
      <c r="Y37" t="str">
        <f>_xlfn.XLOOKUP(X37, codes!A:A, codes!F:F, "")</f>
        <v>M10</v>
      </c>
      <c r="Z37" t="str">
        <f>_xlfn.XLOOKUP(Y37, 'sub-themes'!A:A, 'sub-themes'!H:H, "")</f>
        <v>T3</v>
      </c>
    </row>
    <row r="38" spans="1:26" x14ac:dyDescent="0.2">
      <c r="A38">
        <v>36</v>
      </c>
      <c r="B38">
        <v>64</v>
      </c>
      <c r="C38" t="s">
        <v>19</v>
      </c>
      <c r="D38">
        <v>1</v>
      </c>
      <c r="E38">
        <v>1</v>
      </c>
      <c r="F38" t="s">
        <v>8</v>
      </c>
      <c r="G38" t="s">
        <v>48</v>
      </c>
      <c r="H38" t="str">
        <f t="shared" si="5"/>
        <v>sentence-transformers/all-minilm-l6-v2</v>
      </c>
      <c r="I38" t="str">
        <f t="shared" si="8"/>
        <v>64||['add']||sentence-transformers/all-minilm-l6-v2</v>
      </c>
      <c r="J38">
        <f>IF(COUNTIF($I$2:I38, I38)=1, 1, 0)</f>
        <v>0</v>
      </c>
      <c r="K38" t="str">
        <f t="shared" si="1"/>
        <v>64||['add']||sentence-transformers/all-minilm-l6-v2||C20</v>
      </c>
      <c r="L38">
        <f>IF(COUNTIF($K$2:K38, K38)=1, 1, 0)</f>
        <v>0</v>
      </c>
      <c r="M38" t="str">
        <f t="shared" si="6"/>
        <v>64||['add']||sentence-transformers/all-minilm-l6-v2||M10</v>
      </c>
      <c r="N38">
        <f>IF(COUNTIF($M$2:M38, M38)=1, 1, 0)</f>
        <v>0</v>
      </c>
      <c r="O38" t="str">
        <f t="shared" si="7"/>
        <v>64||['add']||sentence-transformers/all-minilm-l6-v2||T3</v>
      </c>
      <c r="P38">
        <f>IF(COUNTIF($O$2:O38, O38)=1, 1, 0)</f>
        <v>0</v>
      </c>
      <c r="Q38" t="str">
        <f t="shared" si="2"/>
        <v>36||C20</v>
      </c>
      <c r="R38">
        <f>IF(COUNTIF($Q$2:Q38, Q38)=1, 1, 0)</f>
        <v>1</v>
      </c>
      <c r="S38" t="str">
        <f t="shared" si="3"/>
        <v>36||M10</v>
      </c>
      <c r="T38">
        <f>IF(COUNTIF($S$2:S38, S38)=1, 1, 0)</f>
        <v>1</v>
      </c>
      <c r="U38" t="str">
        <f t="shared" si="4"/>
        <v>36||T3</v>
      </c>
      <c r="V38">
        <f>IF(COUNTIF($U$2:U38, U38)=1, 1, 0)</f>
        <v>1</v>
      </c>
      <c r="W38" t="s">
        <v>58</v>
      </c>
      <c r="X38" t="s">
        <v>318</v>
      </c>
      <c r="Y38" t="str">
        <f>_xlfn.XLOOKUP(X38, codes!A:A, codes!F:F, "")</f>
        <v>M10</v>
      </c>
      <c r="Z38" t="str">
        <f>_xlfn.XLOOKUP(Y38, 'sub-themes'!A:A, 'sub-themes'!H:H, "")</f>
        <v>T3</v>
      </c>
    </row>
    <row r="39" spans="1:26" x14ac:dyDescent="0.2">
      <c r="A39">
        <v>37</v>
      </c>
      <c r="B39">
        <v>65</v>
      </c>
      <c r="C39" t="s">
        <v>15</v>
      </c>
      <c r="D39">
        <v>1</v>
      </c>
      <c r="E39">
        <v>1</v>
      </c>
      <c r="F39" t="s">
        <v>8</v>
      </c>
      <c r="G39" t="s">
        <v>59</v>
      </c>
      <c r="H39" t="str">
        <f t="shared" si="5"/>
        <v>openai-community/gpt2</v>
      </c>
      <c r="I39" t="str">
        <f t="shared" si="8"/>
        <v>65||['add']||openai-community/gpt2</v>
      </c>
      <c r="J39">
        <f>IF(COUNTIF($I$2:I39, I39)=1, 1, 0)</f>
        <v>1</v>
      </c>
      <c r="K39" t="str">
        <f t="shared" si="1"/>
        <v>65||['add']||openai-community/gpt2||C26</v>
      </c>
      <c r="L39">
        <f>IF(COUNTIF($K$2:K39, K39)=1, 1, 0)</f>
        <v>1</v>
      </c>
      <c r="M39" t="str">
        <f t="shared" si="6"/>
        <v>65||['add']||openai-community/gpt2||M26</v>
      </c>
      <c r="N39">
        <f>IF(COUNTIF($M$2:M39, M39)=1, 1, 0)</f>
        <v>1</v>
      </c>
      <c r="O39" t="str">
        <f t="shared" si="7"/>
        <v>65||['add']||openai-community/gpt2||T1</v>
      </c>
      <c r="P39">
        <f>IF(COUNTIF($O$2:O39, O39)=1, 1, 0)</f>
        <v>1</v>
      </c>
      <c r="Q39" t="str">
        <f t="shared" si="2"/>
        <v>37||C26</v>
      </c>
      <c r="R39">
        <f>IF(COUNTIF($Q$2:Q39, Q39)=1, 1, 0)</f>
        <v>1</v>
      </c>
      <c r="S39" t="str">
        <f t="shared" si="3"/>
        <v>37||M26</v>
      </c>
      <c r="T39">
        <f>IF(COUNTIF($S$2:S39, S39)=1, 1, 0)</f>
        <v>1</v>
      </c>
      <c r="U39" t="str">
        <f t="shared" si="4"/>
        <v>37||T1</v>
      </c>
      <c r="V39">
        <f>IF(COUNTIF($U$2:U39, U39)=1, 1, 0)</f>
        <v>1</v>
      </c>
      <c r="W39" t="s">
        <v>60</v>
      </c>
      <c r="X39" t="s">
        <v>326</v>
      </c>
      <c r="Y39" t="str">
        <f>_xlfn.XLOOKUP(X39, codes!A:A, codes!F:F, "")</f>
        <v>M26</v>
      </c>
      <c r="Z39" t="str">
        <f>_xlfn.XLOOKUP(Y39, 'sub-themes'!A:A, 'sub-themes'!H:H, "")</f>
        <v>T1</v>
      </c>
    </row>
    <row r="40" spans="1:26" x14ac:dyDescent="0.2">
      <c r="A40">
        <v>38</v>
      </c>
      <c r="B40">
        <v>65</v>
      </c>
      <c r="C40" t="s">
        <v>7</v>
      </c>
      <c r="D40">
        <v>1</v>
      </c>
      <c r="E40">
        <v>1</v>
      </c>
      <c r="F40" t="s">
        <v>8</v>
      </c>
      <c r="G40" t="s">
        <v>59</v>
      </c>
      <c r="H40" t="str">
        <f t="shared" si="5"/>
        <v>openai-community/gpt2</v>
      </c>
      <c r="I40" t="str">
        <f t="shared" si="8"/>
        <v>65||['add']||openai-community/gpt2</v>
      </c>
      <c r="J40">
        <f>IF(COUNTIF($I$2:I40, I40)=1, 1, 0)</f>
        <v>0</v>
      </c>
      <c r="K40" t="str">
        <f t="shared" si="1"/>
        <v>65||['add']||openai-community/gpt2||C26</v>
      </c>
      <c r="L40">
        <f>IF(COUNTIF($K$2:K40, K40)=1, 1, 0)</f>
        <v>0</v>
      </c>
      <c r="M40" t="str">
        <f t="shared" si="6"/>
        <v>65||['add']||openai-community/gpt2||M26</v>
      </c>
      <c r="N40">
        <f>IF(COUNTIF($M$2:M40, M40)=1, 1, 0)</f>
        <v>0</v>
      </c>
      <c r="O40" t="str">
        <f t="shared" si="7"/>
        <v>65||['add']||openai-community/gpt2||T1</v>
      </c>
      <c r="P40">
        <f>IF(COUNTIF($O$2:O40, O40)=1, 1, 0)</f>
        <v>0</v>
      </c>
      <c r="Q40" t="str">
        <f t="shared" si="2"/>
        <v>38||C26</v>
      </c>
      <c r="R40">
        <f>IF(COUNTIF($Q$2:Q40, Q40)=1, 1, 0)</f>
        <v>1</v>
      </c>
      <c r="S40" t="str">
        <f t="shared" si="3"/>
        <v>38||M26</v>
      </c>
      <c r="T40">
        <f>IF(COUNTIF($S$2:S40, S40)=1, 1, 0)</f>
        <v>1</v>
      </c>
      <c r="U40" t="str">
        <f t="shared" si="4"/>
        <v>38||T1</v>
      </c>
      <c r="V40">
        <f>IF(COUNTIF($U$2:U40, U40)=1, 1, 0)</f>
        <v>1</v>
      </c>
      <c r="W40" t="s">
        <v>61</v>
      </c>
      <c r="X40" t="s">
        <v>326</v>
      </c>
      <c r="Y40" t="str">
        <f>_xlfn.XLOOKUP(X40, codes!A:A, codes!F:F, "")</f>
        <v>M26</v>
      </c>
      <c r="Z40" t="str">
        <f>_xlfn.XLOOKUP(Y40, 'sub-themes'!A:A, 'sub-themes'!H:H, "")</f>
        <v>T1</v>
      </c>
    </row>
    <row r="41" spans="1:26" x14ac:dyDescent="0.2">
      <c r="A41">
        <v>39</v>
      </c>
      <c r="B41">
        <v>65</v>
      </c>
      <c r="C41" t="s">
        <v>19</v>
      </c>
      <c r="D41">
        <v>1</v>
      </c>
      <c r="E41">
        <v>1</v>
      </c>
      <c r="F41" t="s">
        <v>8</v>
      </c>
      <c r="G41" t="s">
        <v>59</v>
      </c>
      <c r="H41" t="str">
        <f t="shared" si="5"/>
        <v>openai-community/gpt2</v>
      </c>
      <c r="I41" t="str">
        <f t="shared" si="8"/>
        <v>65||['add']||openai-community/gpt2</v>
      </c>
      <c r="J41">
        <f>IF(COUNTIF($I$2:I41, I41)=1, 1, 0)</f>
        <v>0</v>
      </c>
      <c r="K41" t="str">
        <f t="shared" si="1"/>
        <v>65||['add']||openai-community/gpt2||C26</v>
      </c>
      <c r="L41">
        <f>IF(COUNTIF($K$2:K41, K41)=1, 1, 0)</f>
        <v>0</v>
      </c>
      <c r="M41" t="str">
        <f t="shared" si="6"/>
        <v>65||['add']||openai-community/gpt2||M26</v>
      </c>
      <c r="N41">
        <f>IF(COUNTIF($M$2:M41, M41)=1, 1, 0)</f>
        <v>0</v>
      </c>
      <c r="O41" t="str">
        <f t="shared" si="7"/>
        <v>65||['add']||openai-community/gpt2||T1</v>
      </c>
      <c r="P41">
        <f>IF(COUNTIF($O$2:O41, O41)=1, 1, 0)</f>
        <v>0</v>
      </c>
      <c r="Q41" t="str">
        <f t="shared" si="2"/>
        <v>39||C26</v>
      </c>
      <c r="R41">
        <f>IF(COUNTIF($Q$2:Q41, Q41)=1, 1, 0)</f>
        <v>1</v>
      </c>
      <c r="S41" t="str">
        <f t="shared" si="3"/>
        <v>39||M26</v>
      </c>
      <c r="T41">
        <f>IF(COUNTIF($S$2:S41, S41)=1, 1, 0)</f>
        <v>1</v>
      </c>
      <c r="U41" t="str">
        <f t="shared" si="4"/>
        <v>39||T1</v>
      </c>
      <c r="V41">
        <f>IF(COUNTIF($U$2:U41, U41)=1, 1, 0)</f>
        <v>1</v>
      </c>
      <c r="W41" t="s">
        <v>61</v>
      </c>
      <c r="X41" t="s">
        <v>326</v>
      </c>
      <c r="Y41" t="str">
        <f>_xlfn.XLOOKUP(X41, codes!A:A, codes!F:F, "")</f>
        <v>M26</v>
      </c>
      <c r="Z41" t="str">
        <f>_xlfn.XLOOKUP(Y41, 'sub-themes'!A:A, 'sub-themes'!H:H, "")</f>
        <v>T1</v>
      </c>
    </row>
    <row r="42" spans="1:26" ht="16" customHeight="1" x14ac:dyDescent="0.2">
      <c r="A42">
        <v>40</v>
      </c>
      <c r="B42">
        <v>65</v>
      </c>
      <c r="C42" t="s">
        <v>47</v>
      </c>
      <c r="D42">
        <v>1</v>
      </c>
      <c r="E42">
        <v>1</v>
      </c>
      <c r="F42" t="s">
        <v>8</v>
      </c>
      <c r="G42" t="s">
        <v>59</v>
      </c>
      <c r="H42" t="str">
        <f t="shared" si="5"/>
        <v>openai-community/gpt2</v>
      </c>
      <c r="I42" t="str">
        <f t="shared" si="8"/>
        <v>65||['add']||openai-community/gpt2</v>
      </c>
      <c r="J42">
        <f>IF(COUNTIF($I$2:I42, I42)=1, 1, 0)</f>
        <v>0</v>
      </c>
      <c r="K42" t="str">
        <f t="shared" si="1"/>
        <v>65||['add']||openai-community/gpt2||C21</v>
      </c>
      <c r="L42">
        <f>IF(COUNTIF($K$2:K42, K42)=1, 1, 0)</f>
        <v>1</v>
      </c>
      <c r="M42" t="str">
        <f t="shared" si="6"/>
        <v>65||['add']||openai-community/gpt2||M2</v>
      </c>
      <c r="N42">
        <f>IF(COUNTIF($M$2:M42, M42)=1, 1, 0)</f>
        <v>1</v>
      </c>
      <c r="O42" t="str">
        <f t="shared" si="7"/>
        <v>65||['add']||openai-community/gpt2||T2</v>
      </c>
      <c r="P42">
        <f>IF(COUNTIF($O$2:O42, O42)=1, 1, 0)</f>
        <v>1</v>
      </c>
      <c r="Q42" t="str">
        <f t="shared" si="2"/>
        <v>40||C21</v>
      </c>
      <c r="R42">
        <f>IF(COUNTIF($Q$2:Q42, Q42)=1, 1, 0)</f>
        <v>1</v>
      </c>
      <c r="S42" t="str">
        <f t="shared" si="3"/>
        <v>40||M2</v>
      </c>
      <c r="T42">
        <f>IF(COUNTIF($S$2:S42, S42)=1, 1, 0)</f>
        <v>1</v>
      </c>
      <c r="U42" t="str">
        <f t="shared" si="4"/>
        <v>40||T2</v>
      </c>
      <c r="V42">
        <f>IF(COUNTIF($U$2:U42, U42)=1, 1, 0)</f>
        <v>1</v>
      </c>
      <c r="W42" t="s">
        <v>62</v>
      </c>
      <c r="X42" t="s">
        <v>319</v>
      </c>
      <c r="Y42" t="str">
        <f>_xlfn.XLOOKUP(X42, codes!A:A, codes!F:F, "")</f>
        <v>M2</v>
      </c>
      <c r="Z42" t="str">
        <f>_xlfn.XLOOKUP(Y42, 'sub-themes'!A:A, 'sub-themes'!H:H, "")</f>
        <v>T2</v>
      </c>
    </row>
    <row r="43" spans="1:26" x14ac:dyDescent="0.2">
      <c r="A43">
        <v>41</v>
      </c>
      <c r="B43">
        <v>66</v>
      </c>
      <c r="C43" t="s">
        <v>19</v>
      </c>
      <c r="D43">
        <v>1</v>
      </c>
      <c r="E43">
        <v>1</v>
      </c>
      <c r="F43" t="s">
        <v>29</v>
      </c>
      <c r="G43" t="s">
        <v>63</v>
      </c>
      <c r="H43" t="str">
        <f t="shared" si="5"/>
        <v>trl-internal-testing/dummy-gpt2-correct-vocab</v>
      </c>
      <c r="I43" t="str">
        <f t="shared" si="8"/>
        <v>66||['migrate']||trl-internal-testing/dummy-gpt2-correct-vocab</v>
      </c>
      <c r="J43">
        <f>IF(COUNTIF($I$2:I43, I43)=1, 1, 0)</f>
        <v>1</v>
      </c>
      <c r="K43" t="str">
        <f t="shared" si="1"/>
        <v>66||['migrate']||trl-internal-testing/dummy-gpt2-correct-vocab||C59</v>
      </c>
      <c r="L43">
        <f>IF(COUNTIF($K$2:K43, K43)=1, 1, 0)</f>
        <v>1</v>
      </c>
      <c r="M43" t="str">
        <f t="shared" si="6"/>
        <v>66||['migrate']||trl-internal-testing/dummy-gpt2-correct-vocab||M22</v>
      </c>
      <c r="N43">
        <f>IF(COUNTIF($M$2:M43, M43)=1, 1, 0)</f>
        <v>1</v>
      </c>
      <c r="O43" t="str">
        <f t="shared" si="7"/>
        <v>66||['migrate']||trl-internal-testing/dummy-gpt2-correct-vocab||T5</v>
      </c>
      <c r="P43">
        <f>IF(COUNTIF($O$2:O43, O43)=1, 1, 0)</f>
        <v>1</v>
      </c>
      <c r="Q43" t="str">
        <f t="shared" si="2"/>
        <v>41||C59</v>
      </c>
      <c r="R43">
        <f>IF(COUNTIF($Q$2:Q43, Q43)=1, 1, 0)</f>
        <v>1</v>
      </c>
      <c r="S43" t="str">
        <f t="shared" si="3"/>
        <v>41||M22</v>
      </c>
      <c r="T43">
        <f>IF(COUNTIF($S$2:S43, S43)=1, 1, 0)</f>
        <v>1</v>
      </c>
      <c r="U43" t="str">
        <f t="shared" si="4"/>
        <v>41||T5</v>
      </c>
      <c r="V43">
        <f>IF(COUNTIF($U$2:U43, U43)=1, 1, 0)</f>
        <v>1</v>
      </c>
      <c r="W43" t="s">
        <v>64</v>
      </c>
      <c r="X43" t="s">
        <v>417</v>
      </c>
      <c r="Y43" t="str">
        <f>_xlfn.XLOOKUP(X43, codes!A:A, codes!F:F, "")</f>
        <v>M22</v>
      </c>
      <c r="Z43" t="str">
        <f>_xlfn.XLOOKUP(Y43, 'sub-themes'!A:A, 'sub-themes'!H:H, "")</f>
        <v>T5</v>
      </c>
    </row>
    <row r="44" spans="1:26" x14ac:dyDescent="0.2">
      <c r="A44">
        <v>42</v>
      </c>
      <c r="B44">
        <v>72</v>
      </c>
      <c r="C44" t="s">
        <v>15</v>
      </c>
      <c r="D44">
        <v>1</v>
      </c>
      <c r="E44">
        <v>1</v>
      </c>
      <c r="F44" t="s">
        <v>8</v>
      </c>
      <c r="G44" t="s">
        <v>65</v>
      </c>
      <c r="H44" t="str">
        <f t="shared" si="5"/>
        <v>qwen/qwen3-4b</v>
      </c>
      <c r="I44" t="str">
        <f t="shared" si="8"/>
        <v>72||['add']||qwen/qwen3-4b</v>
      </c>
      <c r="J44">
        <f>IF(COUNTIF($I$2:I44, I44)=1, 1, 0)</f>
        <v>1</v>
      </c>
      <c r="K44" t="str">
        <f t="shared" si="1"/>
        <v>72||['add']||qwen/qwen3-4b||C11</v>
      </c>
      <c r="L44">
        <f>IF(COUNTIF($K$2:K44, K44)=1, 1, 0)</f>
        <v>1</v>
      </c>
      <c r="M44" t="str">
        <f t="shared" si="6"/>
        <v>72||['add']||qwen/qwen3-4b||M11</v>
      </c>
      <c r="N44">
        <f>IF(COUNTIF($M$2:M44, M44)=1, 1, 0)</f>
        <v>1</v>
      </c>
      <c r="O44" t="str">
        <f t="shared" si="7"/>
        <v>72||['add']||qwen/qwen3-4b||T3</v>
      </c>
      <c r="P44">
        <f>IF(COUNTIF($O$2:O44, O44)=1, 1, 0)</f>
        <v>1</v>
      </c>
      <c r="Q44" t="str">
        <f t="shared" si="2"/>
        <v>42||C11</v>
      </c>
      <c r="R44">
        <f>IF(COUNTIF($Q$2:Q44, Q44)=1, 1, 0)</f>
        <v>1</v>
      </c>
      <c r="S44" t="str">
        <f t="shared" si="3"/>
        <v>42||M11</v>
      </c>
      <c r="T44">
        <f>IF(COUNTIF($S$2:S44, S44)=1, 1, 0)</f>
        <v>1</v>
      </c>
      <c r="U44" t="str">
        <f t="shared" si="4"/>
        <v>42||T3</v>
      </c>
      <c r="V44">
        <f>IF(COUNTIF($U$2:U44, U44)=1, 1, 0)</f>
        <v>1</v>
      </c>
      <c r="W44" t="s">
        <v>66</v>
      </c>
      <c r="X44" t="s">
        <v>302</v>
      </c>
      <c r="Y44" t="str">
        <f>_xlfn.XLOOKUP(X44, codes!A:A, codes!F:F, "")</f>
        <v>M11</v>
      </c>
      <c r="Z44" t="str">
        <f>_xlfn.XLOOKUP(Y44, 'sub-themes'!A:A, 'sub-themes'!H:H, "")</f>
        <v>T3</v>
      </c>
    </row>
    <row r="45" spans="1:26" x14ac:dyDescent="0.2">
      <c r="A45">
        <v>43</v>
      </c>
      <c r="B45">
        <v>72</v>
      </c>
      <c r="C45" t="s">
        <v>7</v>
      </c>
      <c r="D45">
        <v>1</v>
      </c>
      <c r="E45">
        <v>1</v>
      </c>
      <c r="F45" t="s">
        <v>8</v>
      </c>
      <c r="G45" t="s">
        <v>65</v>
      </c>
      <c r="H45" t="str">
        <f t="shared" si="5"/>
        <v>qwen/qwen3-4b</v>
      </c>
      <c r="I45" t="str">
        <f t="shared" si="8"/>
        <v>72||['add']||qwen/qwen3-4b</v>
      </c>
      <c r="J45">
        <f>IF(COUNTIF($I$2:I45, I45)=1, 1, 0)</f>
        <v>0</v>
      </c>
      <c r="K45" t="str">
        <f t="shared" si="1"/>
        <v>72||['add']||qwen/qwen3-4b||C11</v>
      </c>
      <c r="L45">
        <f>IF(COUNTIF($K$2:K45, K45)=1, 1, 0)</f>
        <v>0</v>
      </c>
      <c r="M45" t="str">
        <f t="shared" si="6"/>
        <v>72||['add']||qwen/qwen3-4b||M11</v>
      </c>
      <c r="N45">
        <f>IF(COUNTIF($M$2:M45, M45)=1, 1, 0)</f>
        <v>0</v>
      </c>
      <c r="O45" t="str">
        <f t="shared" si="7"/>
        <v>72||['add']||qwen/qwen3-4b||T3</v>
      </c>
      <c r="P45">
        <f>IF(COUNTIF($O$2:O45, O45)=1, 1, 0)</f>
        <v>0</v>
      </c>
      <c r="Q45" t="str">
        <f t="shared" si="2"/>
        <v>43||C11</v>
      </c>
      <c r="R45">
        <f>IF(COUNTIF($Q$2:Q45, Q45)=1, 1, 0)</f>
        <v>1</v>
      </c>
      <c r="S45" t="str">
        <f t="shared" si="3"/>
        <v>43||M11</v>
      </c>
      <c r="T45">
        <f>IF(COUNTIF($S$2:S45, S45)=1, 1, 0)</f>
        <v>1</v>
      </c>
      <c r="U45" t="str">
        <f t="shared" si="4"/>
        <v>43||T3</v>
      </c>
      <c r="V45">
        <f>IF(COUNTIF($U$2:U45, U45)=1, 1, 0)</f>
        <v>1</v>
      </c>
      <c r="W45" t="s">
        <v>67</v>
      </c>
      <c r="X45" t="s">
        <v>302</v>
      </c>
      <c r="Y45" t="str">
        <f>_xlfn.XLOOKUP(X45, codes!A:A, codes!F:F, "")</f>
        <v>M11</v>
      </c>
      <c r="Z45" t="str">
        <f>_xlfn.XLOOKUP(Y45, 'sub-themes'!A:A, 'sub-themes'!H:H, "")</f>
        <v>T3</v>
      </c>
    </row>
    <row r="46" spans="1:26" x14ac:dyDescent="0.2">
      <c r="A46">
        <v>44</v>
      </c>
      <c r="B46">
        <v>72</v>
      </c>
      <c r="C46" t="s">
        <v>19</v>
      </c>
      <c r="D46">
        <v>1</v>
      </c>
      <c r="E46">
        <v>1</v>
      </c>
      <c r="F46" t="s">
        <v>8</v>
      </c>
      <c r="G46" t="s">
        <v>65</v>
      </c>
      <c r="H46" t="str">
        <f t="shared" si="5"/>
        <v>qwen/qwen3-4b</v>
      </c>
      <c r="I46" t="str">
        <f t="shared" si="8"/>
        <v>72||['add']||qwen/qwen3-4b</v>
      </c>
      <c r="J46">
        <f>IF(COUNTIF($I$2:I46, I46)=1, 1, 0)</f>
        <v>0</v>
      </c>
      <c r="K46" t="str">
        <f t="shared" si="1"/>
        <v>72||['add']||qwen/qwen3-4b||C11</v>
      </c>
      <c r="L46">
        <f>IF(COUNTIF($K$2:K46, K46)=1, 1, 0)</f>
        <v>0</v>
      </c>
      <c r="M46" t="str">
        <f t="shared" si="6"/>
        <v>72||['add']||qwen/qwen3-4b||M11</v>
      </c>
      <c r="N46">
        <f>IF(COUNTIF($M$2:M46, M46)=1, 1, 0)</f>
        <v>0</v>
      </c>
      <c r="O46" t="str">
        <f t="shared" si="7"/>
        <v>72||['add']||qwen/qwen3-4b||T3</v>
      </c>
      <c r="P46">
        <f>IF(COUNTIF($O$2:O46, O46)=1, 1, 0)</f>
        <v>0</v>
      </c>
      <c r="Q46" t="str">
        <f t="shared" si="2"/>
        <v>44||C11</v>
      </c>
      <c r="R46">
        <f>IF(COUNTIF($Q$2:Q46, Q46)=1, 1, 0)</f>
        <v>1</v>
      </c>
      <c r="S46" t="str">
        <f t="shared" si="3"/>
        <v>44||M11</v>
      </c>
      <c r="T46">
        <f>IF(COUNTIF($S$2:S46, S46)=1, 1, 0)</f>
        <v>1</v>
      </c>
      <c r="U46" t="str">
        <f t="shared" si="4"/>
        <v>44||T3</v>
      </c>
      <c r="V46">
        <f>IF(COUNTIF($U$2:U46, U46)=1, 1, 0)</f>
        <v>1</v>
      </c>
      <c r="W46" t="s">
        <v>68</v>
      </c>
      <c r="X46" t="s">
        <v>302</v>
      </c>
      <c r="Y46" t="str">
        <f>_xlfn.XLOOKUP(X46, codes!A:A, codes!F:F, "")</f>
        <v>M11</v>
      </c>
      <c r="Z46" t="str">
        <f>_xlfn.XLOOKUP(Y46, 'sub-themes'!A:A, 'sub-themes'!H:H, "")</f>
        <v>T3</v>
      </c>
    </row>
    <row r="47" spans="1:26" x14ac:dyDescent="0.2">
      <c r="A47">
        <v>45</v>
      </c>
      <c r="B47">
        <v>73</v>
      </c>
      <c r="C47" t="s">
        <v>19</v>
      </c>
      <c r="D47">
        <v>1</v>
      </c>
      <c r="E47">
        <v>1</v>
      </c>
      <c r="F47" t="s">
        <v>8</v>
      </c>
      <c r="G47" t="s">
        <v>69</v>
      </c>
      <c r="H47" t="str">
        <f t="shared" si="5"/>
        <v>codellama/codellama-7b-instruct-hf</v>
      </c>
      <c r="I47" t="str">
        <f t="shared" si="8"/>
        <v>73||['add']||codellama/codellama-7b-instruct-hf</v>
      </c>
      <c r="J47">
        <f>IF(COUNTIF($I$2:I47, I47)=1, 1, 0)</f>
        <v>1</v>
      </c>
      <c r="K47" t="str">
        <f t="shared" si="1"/>
        <v>73||['add']||codellama/codellama-7b-instruct-hf||C11</v>
      </c>
      <c r="L47">
        <f>IF(COUNTIF($K$2:K47, K47)=1, 1, 0)</f>
        <v>1</v>
      </c>
      <c r="M47" t="str">
        <f t="shared" si="6"/>
        <v>73||['add']||codellama/codellama-7b-instruct-hf||M11</v>
      </c>
      <c r="N47">
        <f>IF(COUNTIF($M$2:M47, M47)=1, 1, 0)</f>
        <v>1</v>
      </c>
      <c r="O47" t="str">
        <f t="shared" si="7"/>
        <v>73||['add']||codellama/codellama-7b-instruct-hf||T3</v>
      </c>
      <c r="P47">
        <f>IF(COUNTIF($O$2:O47, O47)=1, 1, 0)</f>
        <v>1</v>
      </c>
      <c r="Q47" t="str">
        <f t="shared" si="2"/>
        <v>45||C11</v>
      </c>
      <c r="R47">
        <f>IF(COUNTIF($Q$2:Q47, Q47)=1, 1, 0)</f>
        <v>1</v>
      </c>
      <c r="S47" t="str">
        <f t="shared" si="3"/>
        <v>45||M11</v>
      </c>
      <c r="T47">
        <f>IF(COUNTIF($S$2:S47, S47)=1, 1, 0)</f>
        <v>1</v>
      </c>
      <c r="U47" t="str">
        <f t="shared" si="4"/>
        <v>45||T3</v>
      </c>
      <c r="V47">
        <f>IF(COUNTIF($U$2:U47, U47)=1, 1, 0)</f>
        <v>1</v>
      </c>
      <c r="W47" t="s">
        <v>66</v>
      </c>
      <c r="X47" t="s">
        <v>302</v>
      </c>
      <c r="Y47" t="str">
        <f>_xlfn.XLOOKUP(X47, codes!A:A, codes!F:F, "")</f>
        <v>M11</v>
      </c>
      <c r="Z47" t="str">
        <f>_xlfn.XLOOKUP(Y47, 'sub-themes'!A:A, 'sub-themes'!H:H, "")</f>
        <v>T3</v>
      </c>
    </row>
    <row r="48" spans="1:26" x14ac:dyDescent="0.2">
      <c r="A48">
        <v>46</v>
      </c>
      <c r="B48">
        <v>74</v>
      </c>
      <c r="C48" t="s">
        <v>15</v>
      </c>
      <c r="D48">
        <v>1</v>
      </c>
      <c r="E48">
        <v>1</v>
      </c>
      <c r="F48" t="s">
        <v>8</v>
      </c>
      <c r="G48" t="s">
        <v>70</v>
      </c>
      <c r="H48" t="str">
        <f t="shared" si="5"/>
        <v>deepseek-ai/deepseek-moe-16b-base</v>
      </c>
      <c r="I48" t="str">
        <f t="shared" si="8"/>
        <v>74||['add']||deepseek-ai/deepseek-moe-16b-base</v>
      </c>
      <c r="J48">
        <f>IF(COUNTIF($I$2:I48, I48)=1, 1, 0)</f>
        <v>1</v>
      </c>
      <c r="K48" t="str">
        <f t="shared" si="1"/>
        <v>74||['add']||deepseek-ai/deepseek-moe-16b-base||C27</v>
      </c>
      <c r="L48">
        <f>IF(COUNTIF($K$2:K48, K48)=1, 1, 0)</f>
        <v>1</v>
      </c>
      <c r="M48" t="str">
        <f t="shared" si="6"/>
        <v>74||['add']||deepseek-ai/deepseek-moe-16b-base||M26</v>
      </c>
      <c r="N48">
        <f>IF(COUNTIF($M$2:M48, M48)=1, 1, 0)</f>
        <v>1</v>
      </c>
      <c r="O48" t="str">
        <f t="shared" si="7"/>
        <v>74||['add']||deepseek-ai/deepseek-moe-16b-base||T1</v>
      </c>
      <c r="P48">
        <f>IF(COUNTIF($O$2:O48, O48)=1, 1, 0)</f>
        <v>1</v>
      </c>
      <c r="Q48" t="str">
        <f t="shared" si="2"/>
        <v>46||C27</v>
      </c>
      <c r="R48">
        <f>IF(COUNTIF($Q$2:Q48, Q48)=1, 1, 0)</f>
        <v>1</v>
      </c>
      <c r="S48" t="str">
        <f t="shared" si="3"/>
        <v>46||M26</v>
      </c>
      <c r="T48">
        <f>IF(COUNTIF($S$2:S48, S48)=1, 1, 0)</f>
        <v>1</v>
      </c>
      <c r="U48" t="str">
        <f t="shared" si="4"/>
        <v>46||T1</v>
      </c>
      <c r="V48">
        <f>IF(COUNTIF($U$2:U48, U48)=1, 1, 0)</f>
        <v>1</v>
      </c>
      <c r="W48" t="s">
        <v>71</v>
      </c>
      <c r="X48" t="s">
        <v>328</v>
      </c>
      <c r="Y48" t="str">
        <f>_xlfn.XLOOKUP(X48, codes!A:A, codes!F:F, "")</f>
        <v>M26</v>
      </c>
      <c r="Z48" t="str">
        <f>_xlfn.XLOOKUP(Y48, 'sub-themes'!A:A, 'sub-themes'!H:H, "")</f>
        <v>T1</v>
      </c>
    </row>
    <row r="49" spans="1:26" x14ac:dyDescent="0.2">
      <c r="A49">
        <v>47</v>
      </c>
      <c r="B49">
        <v>74</v>
      </c>
      <c r="C49" t="s">
        <v>7</v>
      </c>
      <c r="D49">
        <v>1</v>
      </c>
      <c r="E49">
        <v>1</v>
      </c>
      <c r="F49" t="s">
        <v>8</v>
      </c>
      <c r="G49" t="s">
        <v>70</v>
      </c>
      <c r="H49" t="str">
        <f t="shared" si="5"/>
        <v>deepseek-ai/deepseek-moe-16b-base</v>
      </c>
      <c r="I49" t="str">
        <f t="shared" si="8"/>
        <v>74||['add']||deepseek-ai/deepseek-moe-16b-base</v>
      </c>
      <c r="J49">
        <f>IF(COUNTIF($I$2:I49, I49)=1, 1, 0)</f>
        <v>0</v>
      </c>
      <c r="K49" t="str">
        <f t="shared" si="1"/>
        <v>74||['add']||deepseek-ai/deepseek-moe-16b-base||C27</v>
      </c>
      <c r="L49">
        <f>IF(COUNTIF($K$2:K49, K49)=1, 1, 0)</f>
        <v>0</v>
      </c>
      <c r="M49" t="str">
        <f t="shared" si="6"/>
        <v>74||['add']||deepseek-ai/deepseek-moe-16b-base||M26</v>
      </c>
      <c r="N49">
        <f>IF(COUNTIF($M$2:M49, M49)=1, 1, 0)</f>
        <v>0</v>
      </c>
      <c r="O49" t="str">
        <f t="shared" si="7"/>
        <v>74||['add']||deepseek-ai/deepseek-moe-16b-base||T1</v>
      </c>
      <c r="P49">
        <f>IF(COUNTIF($O$2:O49, O49)=1, 1, 0)</f>
        <v>0</v>
      </c>
      <c r="Q49" t="str">
        <f t="shared" si="2"/>
        <v>47||C27</v>
      </c>
      <c r="R49">
        <f>IF(COUNTIF($Q$2:Q49, Q49)=1, 1, 0)</f>
        <v>1</v>
      </c>
      <c r="S49" t="str">
        <f t="shared" si="3"/>
        <v>47||M26</v>
      </c>
      <c r="T49">
        <f>IF(COUNTIF($S$2:S49, S49)=1, 1, 0)</f>
        <v>1</v>
      </c>
      <c r="U49" t="str">
        <f t="shared" si="4"/>
        <v>47||T1</v>
      </c>
      <c r="V49">
        <f>IF(COUNTIF($U$2:U49, U49)=1, 1, 0)</f>
        <v>1</v>
      </c>
      <c r="W49" t="s">
        <v>72</v>
      </c>
      <c r="X49" t="s">
        <v>328</v>
      </c>
      <c r="Y49" t="str">
        <f>_xlfn.XLOOKUP(X49, codes!A:A, codes!F:F, "")</f>
        <v>M26</v>
      </c>
      <c r="Z49" t="str">
        <f>_xlfn.XLOOKUP(Y49, 'sub-themes'!A:A, 'sub-themes'!H:H, "")</f>
        <v>T1</v>
      </c>
    </row>
    <row r="50" spans="1:26" x14ac:dyDescent="0.2">
      <c r="A50">
        <v>48</v>
      </c>
      <c r="B50">
        <v>76</v>
      </c>
      <c r="C50" t="s">
        <v>15</v>
      </c>
      <c r="D50">
        <v>1</v>
      </c>
      <c r="E50">
        <v>1</v>
      </c>
      <c r="F50" t="s">
        <v>8</v>
      </c>
      <c r="G50" t="s">
        <v>73</v>
      </c>
      <c r="H50" t="str">
        <f t="shared" si="5"/>
        <v>vectara/hallucination_evaluation_model</v>
      </c>
      <c r="I50" t="str">
        <f t="shared" si="8"/>
        <v>76||['add']||vectara/hallucination_evaluation_model</v>
      </c>
      <c r="J50">
        <f>IF(COUNTIF($I$2:I50, I50)=1, 1, 0)</f>
        <v>1</v>
      </c>
      <c r="K50" t="str">
        <f t="shared" si="1"/>
        <v>76||['add']||vectara/hallucination_evaluation_model||C28</v>
      </c>
      <c r="L50">
        <f>IF(COUNTIF($K$2:K50, K50)=1, 1, 0)</f>
        <v>1</v>
      </c>
      <c r="M50" t="str">
        <f t="shared" si="6"/>
        <v>76||['add']||vectara/hallucination_evaluation_model||M13</v>
      </c>
      <c r="N50">
        <f>IF(COUNTIF($M$2:M50, M50)=1, 1, 0)</f>
        <v>1</v>
      </c>
      <c r="O50" t="str">
        <f t="shared" si="7"/>
        <v>76||['add']||vectara/hallucination_evaluation_model||T1</v>
      </c>
      <c r="P50">
        <f>IF(COUNTIF($O$2:O50, O50)=1, 1, 0)</f>
        <v>1</v>
      </c>
      <c r="Q50" t="str">
        <f t="shared" si="2"/>
        <v>48||C28</v>
      </c>
      <c r="R50">
        <f>IF(COUNTIF($Q$2:Q50, Q50)=1, 1, 0)</f>
        <v>1</v>
      </c>
      <c r="S50" t="str">
        <f t="shared" si="3"/>
        <v>48||M13</v>
      </c>
      <c r="T50">
        <f>IF(COUNTIF($S$2:S50, S50)=1, 1, 0)</f>
        <v>1</v>
      </c>
      <c r="U50" t="str">
        <f t="shared" si="4"/>
        <v>48||T1</v>
      </c>
      <c r="V50">
        <f>IF(COUNTIF($U$2:U50, U50)=1, 1, 0)</f>
        <v>1</v>
      </c>
      <c r="W50" t="s">
        <v>74</v>
      </c>
      <c r="X50" t="s">
        <v>330</v>
      </c>
      <c r="Y50" t="str">
        <f>_xlfn.XLOOKUP(X50, codes!A:A, codes!F:F, "")</f>
        <v>M13</v>
      </c>
      <c r="Z50" t="str">
        <f>_xlfn.XLOOKUP(Y50, 'sub-themes'!A:A, 'sub-themes'!H:H, "")</f>
        <v>T1</v>
      </c>
    </row>
    <row r="51" spans="1:26" x14ac:dyDescent="0.2">
      <c r="A51">
        <v>49</v>
      </c>
      <c r="B51">
        <v>76</v>
      </c>
      <c r="C51" t="s">
        <v>19</v>
      </c>
      <c r="D51">
        <v>1</v>
      </c>
      <c r="E51">
        <v>1</v>
      </c>
      <c r="F51" t="s">
        <v>8</v>
      </c>
      <c r="G51" t="s">
        <v>73</v>
      </c>
      <c r="H51" t="str">
        <f t="shared" si="5"/>
        <v>vectara/hallucination_evaluation_model</v>
      </c>
      <c r="I51" t="str">
        <f t="shared" si="8"/>
        <v>76||['add']||vectara/hallucination_evaluation_model</v>
      </c>
      <c r="J51">
        <f>IF(COUNTIF($I$2:I51, I51)=1, 1, 0)</f>
        <v>0</v>
      </c>
      <c r="K51" t="str">
        <f t="shared" si="1"/>
        <v>76||['add']||vectara/hallucination_evaluation_model||C28</v>
      </c>
      <c r="L51">
        <f>IF(COUNTIF($K$2:K51, K51)=1, 1, 0)</f>
        <v>0</v>
      </c>
      <c r="M51" t="str">
        <f t="shared" si="6"/>
        <v>76||['add']||vectara/hallucination_evaluation_model||M13</v>
      </c>
      <c r="N51">
        <f>IF(COUNTIF($M$2:M51, M51)=1, 1, 0)</f>
        <v>0</v>
      </c>
      <c r="O51" t="str">
        <f t="shared" si="7"/>
        <v>76||['add']||vectara/hallucination_evaluation_model||T1</v>
      </c>
      <c r="P51">
        <f>IF(COUNTIF($O$2:O51, O51)=1, 1, 0)</f>
        <v>0</v>
      </c>
      <c r="Q51" t="str">
        <f t="shared" si="2"/>
        <v>49||C28</v>
      </c>
      <c r="R51">
        <f>IF(COUNTIF($Q$2:Q51, Q51)=1, 1, 0)</f>
        <v>1</v>
      </c>
      <c r="S51" t="str">
        <f t="shared" si="3"/>
        <v>49||M13</v>
      </c>
      <c r="T51">
        <f>IF(COUNTIF($S$2:S51, S51)=1, 1, 0)</f>
        <v>1</v>
      </c>
      <c r="U51" t="str">
        <f t="shared" si="4"/>
        <v>49||T1</v>
      </c>
      <c r="V51">
        <f>IF(COUNTIF($U$2:U51, U51)=1, 1, 0)</f>
        <v>1</v>
      </c>
      <c r="W51" t="s">
        <v>75</v>
      </c>
      <c r="X51" t="s">
        <v>330</v>
      </c>
      <c r="Y51" t="str">
        <f>_xlfn.XLOOKUP(X51, codes!A:A, codes!F:F, "")</f>
        <v>M13</v>
      </c>
      <c r="Z51" t="str">
        <f>_xlfn.XLOOKUP(Y51, 'sub-themes'!A:A, 'sub-themes'!H:H, "")</f>
        <v>T1</v>
      </c>
    </row>
    <row r="52" spans="1:26" x14ac:dyDescent="0.2">
      <c r="A52">
        <v>50</v>
      </c>
      <c r="B52">
        <v>76</v>
      </c>
      <c r="C52" t="s">
        <v>11</v>
      </c>
      <c r="D52">
        <v>1</v>
      </c>
      <c r="E52">
        <v>1</v>
      </c>
      <c r="F52" t="s">
        <v>8</v>
      </c>
      <c r="G52" t="s">
        <v>73</v>
      </c>
      <c r="H52" t="str">
        <f t="shared" si="5"/>
        <v>vectara/hallucination_evaluation_model</v>
      </c>
      <c r="I52" t="str">
        <f t="shared" si="8"/>
        <v>76||['add']||vectara/hallucination_evaluation_model</v>
      </c>
      <c r="J52">
        <f>IF(COUNTIF($I$2:I52, I52)=1, 1, 0)</f>
        <v>0</v>
      </c>
      <c r="K52" t="str">
        <f t="shared" si="1"/>
        <v>76||['add']||vectara/hallucination_evaluation_model||C28</v>
      </c>
      <c r="L52">
        <f>IF(COUNTIF($K$2:K52, K52)=1, 1, 0)</f>
        <v>0</v>
      </c>
      <c r="M52" t="str">
        <f t="shared" si="6"/>
        <v>76||['add']||vectara/hallucination_evaluation_model||M13</v>
      </c>
      <c r="N52">
        <f>IF(COUNTIF($M$2:M52, M52)=1, 1, 0)</f>
        <v>0</v>
      </c>
      <c r="O52" t="str">
        <f t="shared" si="7"/>
        <v>76||['add']||vectara/hallucination_evaluation_model||T1</v>
      </c>
      <c r="P52">
        <f>IF(COUNTIF($O$2:O52, O52)=1, 1, 0)</f>
        <v>0</v>
      </c>
      <c r="Q52" t="str">
        <f t="shared" si="2"/>
        <v>50||C28</v>
      </c>
      <c r="R52">
        <f>IF(COUNTIF($Q$2:Q52, Q52)=1, 1, 0)</f>
        <v>1</v>
      </c>
      <c r="S52" t="str">
        <f t="shared" si="3"/>
        <v>50||M13</v>
      </c>
      <c r="T52">
        <f>IF(COUNTIF($S$2:S52, S52)=1, 1, 0)</f>
        <v>1</v>
      </c>
      <c r="U52" t="str">
        <f t="shared" si="4"/>
        <v>50||T1</v>
      </c>
      <c r="V52">
        <f>IF(COUNTIF($U$2:U52, U52)=1, 1, 0)</f>
        <v>1</v>
      </c>
      <c r="W52" t="s">
        <v>76</v>
      </c>
      <c r="X52" t="s">
        <v>330</v>
      </c>
      <c r="Y52" t="str">
        <f>_xlfn.XLOOKUP(X52, codes!A:A, codes!F:F, "")</f>
        <v>M13</v>
      </c>
      <c r="Z52" t="str">
        <f>_xlfn.XLOOKUP(Y52, 'sub-themes'!A:A, 'sub-themes'!H:H, "")</f>
        <v>T1</v>
      </c>
    </row>
    <row r="53" spans="1:26" x14ac:dyDescent="0.2">
      <c r="A53">
        <v>51</v>
      </c>
      <c r="B53">
        <v>83</v>
      </c>
      <c r="C53" t="s">
        <v>7</v>
      </c>
      <c r="D53">
        <v>1</v>
      </c>
      <c r="E53">
        <v>1</v>
      </c>
      <c r="F53" t="s">
        <v>8</v>
      </c>
      <c r="G53" t="s">
        <v>48</v>
      </c>
      <c r="H53" t="str">
        <f t="shared" si="5"/>
        <v>sentence-transformers/all-minilm-l6-v2</v>
      </c>
      <c r="I53" t="str">
        <f t="shared" si="8"/>
        <v>83||['add']||sentence-transformers/all-minilm-l6-v2</v>
      </c>
      <c r="J53">
        <f>IF(COUNTIF($I$2:I53, I53)=1, 1, 0)</f>
        <v>1</v>
      </c>
      <c r="K53" t="str">
        <f t="shared" si="1"/>
        <v>83||['add']||sentence-transformers/all-minilm-l6-v2||C26</v>
      </c>
      <c r="L53">
        <f>IF(COUNTIF($K$2:K53, K53)=1, 1, 0)</f>
        <v>1</v>
      </c>
      <c r="M53" t="str">
        <f t="shared" si="6"/>
        <v>83||['add']||sentence-transformers/all-minilm-l6-v2||M26</v>
      </c>
      <c r="N53">
        <f>IF(COUNTIF($M$2:M53, M53)=1, 1, 0)</f>
        <v>1</v>
      </c>
      <c r="O53" t="str">
        <f t="shared" si="7"/>
        <v>83||['add']||sentence-transformers/all-minilm-l6-v2||T1</v>
      </c>
      <c r="P53">
        <f>IF(COUNTIF($O$2:O53, O53)=1, 1, 0)</f>
        <v>1</v>
      </c>
      <c r="Q53" t="str">
        <f t="shared" si="2"/>
        <v>51||C26</v>
      </c>
      <c r="R53">
        <f>IF(COUNTIF($Q$2:Q53, Q53)=1, 1, 0)</f>
        <v>1</v>
      </c>
      <c r="S53" t="str">
        <f t="shared" si="3"/>
        <v>51||M26</v>
      </c>
      <c r="T53">
        <f>IF(COUNTIF($S$2:S53, S53)=1, 1, 0)</f>
        <v>1</v>
      </c>
      <c r="U53" t="str">
        <f t="shared" si="4"/>
        <v>51||T1</v>
      </c>
      <c r="V53">
        <f>IF(COUNTIF($U$2:U53, U53)=1, 1, 0)</f>
        <v>1</v>
      </c>
      <c r="W53" t="s">
        <v>77</v>
      </c>
      <c r="X53" t="s">
        <v>326</v>
      </c>
      <c r="Y53" t="str">
        <f>_xlfn.XLOOKUP(X53, codes!A:A, codes!F:F, "")</f>
        <v>M26</v>
      </c>
      <c r="Z53" t="str">
        <f>_xlfn.XLOOKUP(Y53, 'sub-themes'!A:A, 'sub-themes'!H:H, "")</f>
        <v>T1</v>
      </c>
    </row>
    <row r="54" spans="1:26" x14ac:dyDescent="0.2">
      <c r="A54">
        <v>52</v>
      </c>
      <c r="B54">
        <v>83</v>
      </c>
      <c r="C54" t="s">
        <v>19</v>
      </c>
      <c r="D54">
        <v>1</v>
      </c>
      <c r="E54">
        <v>1</v>
      </c>
      <c r="F54" t="s">
        <v>8</v>
      </c>
      <c r="G54" t="s">
        <v>48</v>
      </c>
      <c r="H54" t="str">
        <f t="shared" si="5"/>
        <v>sentence-transformers/all-minilm-l6-v2</v>
      </c>
      <c r="I54" t="str">
        <f t="shared" si="8"/>
        <v>83||['add']||sentence-transformers/all-minilm-l6-v2</v>
      </c>
      <c r="J54">
        <f>IF(COUNTIF($I$2:I54, I54)=1, 1, 0)</f>
        <v>0</v>
      </c>
      <c r="K54" t="str">
        <f t="shared" si="1"/>
        <v>83||['add']||sentence-transformers/all-minilm-l6-v2||C26</v>
      </c>
      <c r="L54">
        <f>IF(COUNTIF($K$2:K54, K54)=1, 1, 0)</f>
        <v>0</v>
      </c>
      <c r="M54" t="str">
        <f t="shared" si="6"/>
        <v>83||['add']||sentence-transformers/all-minilm-l6-v2||M26</v>
      </c>
      <c r="N54">
        <f>IF(COUNTIF($M$2:M54, M54)=1, 1, 0)</f>
        <v>0</v>
      </c>
      <c r="O54" t="str">
        <f t="shared" si="7"/>
        <v>83||['add']||sentence-transformers/all-minilm-l6-v2||T1</v>
      </c>
      <c r="P54">
        <f>IF(COUNTIF($O$2:O54, O54)=1, 1, 0)</f>
        <v>0</v>
      </c>
      <c r="Q54" t="str">
        <f t="shared" si="2"/>
        <v>52||C26</v>
      </c>
      <c r="R54">
        <f>IF(COUNTIF($Q$2:Q54, Q54)=1, 1, 0)</f>
        <v>1</v>
      </c>
      <c r="S54" t="str">
        <f t="shared" si="3"/>
        <v>52||M26</v>
      </c>
      <c r="T54">
        <f>IF(COUNTIF($S$2:S54, S54)=1, 1, 0)</f>
        <v>1</v>
      </c>
      <c r="U54" t="str">
        <f t="shared" si="4"/>
        <v>52||T1</v>
      </c>
      <c r="V54">
        <f>IF(COUNTIF($U$2:U54, U54)=1, 1, 0)</f>
        <v>1</v>
      </c>
      <c r="W54" t="s">
        <v>78</v>
      </c>
      <c r="X54" t="s">
        <v>326</v>
      </c>
      <c r="Y54" t="str">
        <f>_xlfn.XLOOKUP(X54, codes!A:A, codes!F:F, "")</f>
        <v>M26</v>
      </c>
      <c r="Z54" t="str">
        <f>_xlfn.XLOOKUP(Y54, 'sub-themes'!A:A, 'sub-themes'!H:H, "")</f>
        <v>T1</v>
      </c>
    </row>
    <row r="55" spans="1:26" x14ac:dyDescent="0.2">
      <c r="A55">
        <v>53</v>
      </c>
      <c r="B55">
        <v>90</v>
      </c>
      <c r="C55" t="s">
        <v>15</v>
      </c>
      <c r="D55">
        <v>1</v>
      </c>
      <c r="E55">
        <v>1</v>
      </c>
      <c r="F55" t="s">
        <v>8</v>
      </c>
      <c r="G55" t="s">
        <v>79</v>
      </c>
      <c r="H55" t="str">
        <f t="shared" si="5"/>
        <v>briaai/rmbg-1.4</v>
      </c>
      <c r="I55" t="str">
        <f t="shared" si="8"/>
        <v>90||['add']||briaai/rmbg-1.4</v>
      </c>
      <c r="J55">
        <f>IF(COUNTIF($I$2:I55, I55)=1, 1, 0)</f>
        <v>1</v>
      </c>
      <c r="K55" t="str">
        <f t="shared" si="1"/>
        <v>90||['add']||briaai/rmbg-1.4||C29</v>
      </c>
      <c r="L55">
        <f>IF(COUNTIF($K$2:K55, K55)=1, 1, 0)</f>
        <v>1</v>
      </c>
      <c r="M55" t="str">
        <f t="shared" si="6"/>
        <v>90||['add']||briaai/rmbg-1.4||M4</v>
      </c>
      <c r="N55">
        <f>IF(COUNTIF($M$2:M55, M55)=1, 1, 0)</f>
        <v>1</v>
      </c>
      <c r="O55" t="str">
        <f t="shared" si="7"/>
        <v>90||['add']||briaai/rmbg-1.4||T1</v>
      </c>
      <c r="P55">
        <f>IF(COUNTIF($O$2:O55, O55)=1, 1, 0)</f>
        <v>1</v>
      </c>
      <c r="Q55" t="str">
        <f t="shared" si="2"/>
        <v>53||C29</v>
      </c>
      <c r="R55">
        <f>IF(COUNTIF($Q$2:Q55, Q55)=1, 1, 0)</f>
        <v>1</v>
      </c>
      <c r="S55" t="str">
        <f t="shared" si="3"/>
        <v>53||M4</v>
      </c>
      <c r="T55">
        <f>IF(COUNTIF($S$2:S55, S55)=1, 1, 0)</f>
        <v>1</v>
      </c>
      <c r="U55" t="str">
        <f t="shared" si="4"/>
        <v>53||T1</v>
      </c>
      <c r="V55">
        <f>IF(COUNTIF($U$2:U55, U55)=1, 1, 0)</f>
        <v>1</v>
      </c>
      <c r="W55" t="s">
        <v>80</v>
      </c>
      <c r="X55" t="s">
        <v>332</v>
      </c>
      <c r="Y55" t="str">
        <f>_xlfn.XLOOKUP(X55, codes!A:A, codes!F:F, "")</f>
        <v>M4</v>
      </c>
      <c r="Z55" t="str">
        <f>_xlfn.XLOOKUP(Y55, 'sub-themes'!A:A, 'sub-themes'!H:H, "")</f>
        <v>T1</v>
      </c>
    </row>
    <row r="56" spans="1:26" x14ac:dyDescent="0.2">
      <c r="A56">
        <v>54</v>
      </c>
      <c r="B56">
        <v>90</v>
      </c>
      <c r="C56" t="s">
        <v>7</v>
      </c>
      <c r="D56">
        <v>1</v>
      </c>
      <c r="E56">
        <v>1</v>
      </c>
      <c r="F56" t="s">
        <v>8</v>
      </c>
      <c r="G56" t="s">
        <v>79</v>
      </c>
      <c r="H56" t="str">
        <f t="shared" si="5"/>
        <v>briaai/rmbg-1.4</v>
      </c>
      <c r="I56" t="str">
        <f t="shared" si="8"/>
        <v>90||['add']||briaai/rmbg-1.4</v>
      </c>
      <c r="J56">
        <f>IF(COUNTIF($I$2:I56, I56)=1, 1, 0)</f>
        <v>0</v>
      </c>
      <c r="K56" t="str">
        <f t="shared" si="1"/>
        <v>90||['add']||briaai/rmbg-1.4||C29</v>
      </c>
      <c r="L56">
        <f>IF(COUNTIF($K$2:K56, K56)=1, 1, 0)</f>
        <v>0</v>
      </c>
      <c r="M56" t="str">
        <f t="shared" si="6"/>
        <v>90||['add']||briaai/rmbg-1.4||M4</v>
      </c>
      <c r="N56">
        <f>IF(COUNTIF($M$2:M56, M56)=1, 1, 0)</f>
        <v>0</v>
      </c>
      <c r="O56" t="str">
        <f t="shared" si="7"/>
        <v>90||['add']||briaai/rmbg-1.4||T1</v>
      </c>
      <c r="P56">
        <f>IF(COUNTIF($O$2:O56, O56)=1, 1, 0)</f>
        <v>0</v>
      </c>
      <c r="Q56" t="str">
        <f t="shared" si="2"/>
        <v>54||C29</v>
      </c>
      <c r="R56">
        <f>IF(COUNTIF($Q$2:Q56, Q56)=1, 1, 0)</f>
        <v>1</v>
      </c>
      <c r="S56" t="str">
        <f t="shared" si="3"/>
        <v>54||M4</v>
      </c>
      <c r="T56">
        <f>IF(COUNTIF($S$2:S56, S56)=1, 1, 0)</f>
        <v>1</v>
      </c>
      <c r="U56" t="str">
        <f t="shared" si="4"/>
        <v>54||T1</v>
      </c>
      <c r="V56">
        <f>IF(COUNTIF($U$2:U56, U56)=1, 1, 0)</f>
        <v>1</v>
      </c>
      <c r="W56" t="s">
        <v>81</v>
      </c>
      <c r="X56" t="s">
        <v>332</v>
      </c>
      <c r="Y56" t="str">
        <f>_xlfn.XLOOKUP(X56, codes!A:A, codes!F:F, "")</f>
        <v>M4</v>
      </c>
      <c r="Z56" t="str">
        <f>_xlfn.XLOOKUP(Y56, 'sub-themes'!A:A, 'sub-themes'!H:H, "")</f>
        <v>T1</v>
      </c>
    </row>
    <row r="57" spans="1:26" x14ac:dyDescent="0.2">
      <c r="A57">
        <v>55</v>
      </c>
      <c r="B57">
        <v>96</v>
      </c>
      <c r="C57" t="s">
        <v>15</v>
      </c>
      <c r="D57">
        <v>1</v>
      </c>
      <c r="E57">
        <v>1</v>
      </c>
      <c r="F57" t="s">
        <v>8</v>
      </c>
      <c r="G57" t="s">
        <v>82</v>
      </c>
      <c r="H57" t="str">
        <f t="shared" si="5"/>
        <v>seshing/placepulse</v>
      </c>
      <c r="I57" t="str">
        <f t="shared" si="8"/>
        <v>96||['add']||seshing/placepulse</v>
      </c>
      <c r="J57">
        <f>IF(COUNTIF($I$2:I57, I57)=1, 1, 0)</f>
        <v>1</v>
      </c>
      <c r="K57" t="str">
        <f t="shared" si="1"/>
        <v>96||['add']||seshing/placepulse||C30</v>
      </c>
      <c r="L57">
        <f>IF(COUNTIF($K$2:K57, K57)=1, 1, 0)</f>
        <v>1</v>
      </c>
      <c r="M57" t="str">
        <f t="shared" si="6"/>
        <v>96||['add']||seshing/placepulse||M13</v>
      </c>
      <c r="N57">
        <f>IF(COUNTIF($M$2:M57, M57)=1, 1, 0)</f>
        <v>1</v>
      </c>
      <c r="O57" t="str">
        <f t="shared" si="7"/>
        <v>96||['add']||seshing/placepulse||T1</v>
      </c>
      <c r="P57">
        <f>IF(COUNTIF($O$2:O57, O57)=1, 1, 0)</f>
        <v>1</v>
      </c>
      <c r="Q57" t="str">
        <f t="shared" si="2"/>
        <v>55||C30</v>
      </c>
      <c r="R57">
        <f>IF(COUNTIF($Q$2:Q57, Q57)=1, 1, 0)</f>
        <v>1</v>
      </c>
      <c r="S57" t="str">
        <f t="shared" si="3"/>
        <v>55||M13</v>
      </c>
      <c r="T57">
        <f>IF(COUNTIF($S$2:S57, S57)=1, 1, 0)</f>
        <v>1</v>
      </c>
      <c r="U57" t="str">
        <f t="shared" si="4"/>
        <v>55||T1</v>
      </c>
      <c r="V57">
        <f>IF(COUNTIF($U$2:U57, U57)=1, 1, 0)</f>
        <v>1</v>
      </c>
      <c r="W57" t="s">
        <v>83</v>
      </c>
      <c r="X57" t="s">
        <v>333</v>
      </c>
      <c r="Y57" t="str">
        <f>_xlfn.XLOOKUP(X57, codes!A:A, codes!F:F, "")</f>
        <v>M13</v>
      </c>
      <c r="Z57" t="str">
        <f>_xlfn.XLOOKUP(Y57, 'sub-themes'!A:A, 'sub-themes'!H:H, "")</f>
        <v>T1</v>
      </c>
    </row>
    <row r="58" spans="1:26" x14ac:dyDescent="0.2">
      <c r="A58">
        <v>56</v>
      </c>
      <c r="B58">
        <v>96</v>
      </c>
      <c r="C58" t="s">
        <v>7</v>
      </c>
      <c r="D58">
        <v>1</v>
      </c>
      <c r="E58">
        <v>1</v>
      </c>
      <c r="F58" t="s">
        <v>8</v>
      </c>
      <c r="G58" t="s">
        <v>82</v>
      </c>
      <c r="H58" t="str">
        <f t="shared" si="5"/>
        <v>seshing/placepulse</v>
      </c>
      <c r="I58" t="str">
        <f t="shared" si="8"/>
        <v>96||['add']||seshing/placepulse</v>
      </c>
      <c r="J58">
        <f>IF(COUNTIF($I$2:I58, I58)=1, 1, 0)</f>
        <v>0</v>
      </c>
      <c r="K58" t="str">
        <f t="shared" si="1"/>
        <v>96||['add']||seshing/placepulse||C30</v>
      </c>
      <c r="L58">
        <f>IF(COUNTIF($K$2:K58, K58)=1, 1, 0)</f>
        <v>0</v>
      </c>
      <c r="M58" t="str">
        <f t="shared" si="6"/>
        <v>96||['add']||seshing/placepulse||M13</v>
      </c>
      <c r="N58">
        <f>IF(COUNTIF($M$2:M58, M58)=1, 1, 0)</f>
        <v>0</v>
      </c>
      <c r="O58" t="str">
        <f t="shared" si="7"/>
        <v>96||['add']||seshing/placepulse||T1</v>
      </c>
      <c r="P58">
        <f>IF(COUNTIF($O$2:O58, O58)=1, 1, 0)</f>
        <v>0</v>
      </c>
      <c r="Q58" t="str">
        <f t="shared" si="2"/>
        <v>56||C30</v>
      </c>
      <c r="R58">
        <f>IF(COUNTIF($Q$2:Q58, Q58)=1, 1, 0)</f>
        <v>1</v>
      </c>
      <c r="S58" t="str">
        <f t="shared" si="3"/>
        <v>56||M13</v>
      </c>
      <c r="T58">
        <f>IF(COUNTIF($S$2:S58, S58)=1, 1, 0)</f>
        <v>1</v>
      </c>
      <c r="U58" t="str">
        <f t="shared" si="4"/>
        <v>56||T1</v>
      </c>
      <c r="V58">
        <f>IF(COUNTIF($U$2:U58, U58)=1, 1, 0)</f>
        <v>1</v>
      </c>
      <c r="W58" t="s">
        <v>84</v>
      </c>
      <c r="X58" t="s">
        <v>333</v>
      </c>
      <c r="Y58" t="str">
        <f>_xlfn.XLOOKUP(X58, codes!A:A, codes!F:F, "")</f>
        <v>M13</v>
      </c>
      <c r="Z58" t="str">
        <f>_xlfn.XLOOKUP(Y58, 'sub-themes'!A:A, 'sub-themes'!H:H, "")</f>
        <v>T1</v>
      </c>
    </row>
    <row r="59" spans="1:26" x14ac:dyDescent="0.2">
      <c r="A59">
        <v>57</v>
      </c>
      <c r="B59">
        <v>96</v>
      </c>
      <c r="C59" t="s">
        <v>19</v>
      </c>
      <c r="D59">
        <v>1</v>
      </c>
      <c r="E59">
        <v>1</v>
      </c>
      <c r="F59" t="s">
        <v>8</v>
      </c>
      <c r="G59" t="s">
        <v>82</v>
      </c>
      <c r="H59" t="str">
        <f t="shared" si="5"/>
        <v>seshing/placepulse</v>
      </c>
      <c r="I59" t="str">
        <f t="shared" si="8"/>
        <v>96||['add']||seshing/placepulse</v>
      </c>
      <c r="J59">
        <f>IF(COUNTIF($I$2:I59, I59)=1, 1, 0)</f>
        <v>0</v>
      </c>
      <c r="K59" t="str">
        <f t="shared" si="1"/>
        <v>96||['add']||seshing/placepulse||C30</v>
      </c>
      <c r="L59">
        <f>IF(COUNTIF($K$2:K59, K59)=1, 1, 0)</f>
        <v>0</v>
      </c>
      <c r="M59" t="str">
        <f t="shared" si="6"/>
        <v>96||['add']||seshing/placepulse||M13</v>
      </c>
      <c r="N59">
        <f>IF(COUNTIF($M$2:M59, M59)=1, 1, 0)</f>
        <v>0</v>
      </c>
      <c r="O59" t="str">
        <f t="shared" si="7"/>
        <v>96||['add']||seshing/placepulse||T1</v>
      </c>
      <c r="P59">
        <f>IF(COUNTIF($O$2:O59, O59)=1, 1, 0)</f>
        <v>0</v>
      </c>
      <c r="Q59" t="str">
        <f t="shared" si="2"/>
        <v>57||C30</v>
      </c>
      <c r="R59">
        <f>IF(COUNTIF($Q$2:Q59, Q59)=1, 1, 0)</f>
        <v>1</v>
      </c>
      <c r="S59" t="str">
        <f t="shared" si="3"/>
        <v>57||M13</v>
      </c>
      <c r="T59">
        <f>IF(COUNTIF($S$2:S59, S59)=1, 1, 0)</f>
        <v>1</v>
      </c>
      <c r="U59" t="str">
        <f t="shared" si="4"/>
        <v>57||T1</v>
      </c>
      <c r="V59">
        <f>IF(COUNTIF($U$2:U59, U59)=1, 1, 0)</f>
        <v>1</v>
      </c>
      <c r="W59" t="s">
        <v>85</v>
      </c>
      <c r="X59" t="s">
        <v>333</v>
      </c>
      <c r="Y59" t="str">
        <f>_xlfn.XLOOKUP(X59, codes!A:A, codes!F:F, "")</f>
        <v>M13</v>
      </c>
      <c r="Z59" t="str">
        <f>_xlfn.XLOOKUP(Y59, 'sub-themes'!A:A, 'sub-themes'!H:H, "")</f>
        <v>T1</v>
      </c>
    </row>
    <row r="60" spans="1:26" x14ac:dyDescent="0.2">
      <c r="A60">
        <v>58</v>
      </c>
      <c r="B60">
        <v>97</v>
      </c>
      <c r="C60" t="s">
        <v>7</v>
      </c>
      <c r="D60">
        <v>2</v>
      </c>
      <c r="E60">
        <v>1</v>
      </c>
      <c r="F60" t="s">
        <v>8</v>
      </c>
      <c r="G60" t="s">
        <v>86</v>
      </c>
      <c r="H60" t="str">
        <f t="shared" si="5"/>
        <v>black-forest-labs/flux.1-dev</v>
      </c>
      <c r="I60" t="str">
        <f t="shared" si="8"/>
        <v>97||['add']||black-forest-labs/flux.1-dev</v>
      </c>
      <c r="J60">
        <f>IF(COUNTIF($I$2:I60, I60)=1, 1, 0)</f>
        <v>1</v>
      </c>
      <c r="K60" t="str">
        <f t="shared" si="1"/>
        <v>97||['add']||black-forest-labs/flux.1-dev||C61</v>
      </c>
      <c r="L60">
        <f>IF(COUNTIF($K$2:K60, K60)=1, 1, 0)</f>
        <v>1</v>
      </c>
      <c r="M60" t="str">
        <f t="shared" si="6"/>
        <v>97||['add']||black-forest-labs/flux.1-dev||M17</v>
      </c>
      <c r="N60">
        <f>IF(COUNTIF($M$2:M60, M60)=1, 1, 0)</f>
        <v>1</v>
      </c>
      <c r="O60" t="str">
        <f t="shared" si="7"/>
        <v>97||['add']||black-forest-labs/flux.1-dev||T3</v>
      </c>
      <c r="P60">
        <f>IF(COUNTIF($O$2:O60, O60)=1, 1, 0)</f>
        <v>1</v>
      </c>
      <c r="Q60" t="str">
        <f t="shared" si="2"/>
        <v>58||C61</v>
      </c>
      <c r="R60">
        <f>IF(COUNTIF($Q$2:Q60, Q60)=1, 1, 0)</f>
        <v>1</v>
      </c>
      <c r="S60" t="str">
        <f t="shared" si="3"/>
        <v>58||M17</v>
      </c>
      <c r="T60">
        <f>IF(COUNTIF($S$2:S60, S60)=1, 1, 0)</f>
        <v>1</v>
      </c>
      <c r="U60" t="str">
        <f t="shared" si="4"/>
        <v>58||T3</v>
      </c>
      <c r="V60">
        <f>IF(COUNTIF($U$2:U60, U60)=1, 1, 0)</f>
        <v>1</v>
      </c>
      <c r="W60" t="s">
        <v>424</v>
      </c>
      <c r="X60" t="s">
        <v>422</v>
      </c>
      <c r="Y60" t="str">
        <f>_xlfn.XLOOKUP(X60, codes!A:A, codes!F:F, "")</f>
        <v>M17</v>
      </c>
      <c r="Z60" t="str">
        <f>_xlfn.XLOOKUP(Y60, 'sub-themes'!A:A, 'sub-themes'!H:H, "")</f>
        <v>T3</v>
      </c>
    </row>
    <row r="61" spans="1:26" x14ac:dyDescent="0.2">
      <c r="A61">
        <v>59</v>
      </c>
      <c r="B61">
        <v>97</v>
      </c>
      <c r="C61" t="s">
        <v>19</v>
      </c>
      <c r="D61">
        <v>2</v>
      </c>
      <c r="E61">
        <v>1</v>
      </c>
      <c r="F61" t="s">
        <v>8</v>
      </c>
      <c r="G61" t="s">
        <v>86</v>
      </c>
      <c r="H61" t="str">
        <f t="shared" si="5"/>
        <v>black-forest-labs/flux.1-dev</v>
      </c>
      <c r="I61" t="str">
        <f t="shared" si="8"/>
        <v>97||['add']||black-forest-labs/flux.1-dev</v>
      </c>
      <c r="J61">
        <f>IF(COUNTIF($I$2:I61, I61)=1, 1, 0)</f>
        <v>0</v>
      </c>
      <c r="K61" t="str">
        <f t="shared" si="1"/>
        <v>97||['add']||black-forest-labs/flux.1-dev||C61</v>
      </c>
      <c r="L61">
        <f>IF(COUNTIF($K$2:K61, K61)=1, 1, 0)</f>
        <v>0</v>
      </c>
      <c r="M61" t="str">
        <f t="shared" si="6"/>
        <v>97||['add']||black-forest-labs/flux.1-dev||M17</v>
      </c>
      <c r="N61">
        <f>IF(COUNTIF($M$2:M61, M61)=1, 1, 0)</f>
        <v>0</v>
      </c>
      <c r="O61" t="str">
        <f t="shared" si="7"/>
        <v>97||['add']||black-forest-labs/flux.1-dev||T3</v>
      </c>
      <c r="P61">
        <f>IF(COUNTIF($O$2:O61, O61)=1, 1, 0)</f>
        <v>0</v>
      </c>
      <c r="Q61" t="str">
        <f t="shared" si="2"/>
        <v>59||C61</v>
      </c>
      <c r="R61">
        <f>IF(COUNTIF($Q$2:Q61, Q61)=1, 1, 0)</f>
        <v>1</v>
      </c>
      <c r="S61" t="str">
        <f t="shared" si="3"/>
        <v>59||M17</v>
      </c>
      <c r="T61">
        <f>IF(COUNTIF($S$2:S61, S61)=1, 1, 0)</f>
        <v>1</v>
      </c>
      <c r="U61" t="str">
        <f t="shared" si="4"/>
        <v>59||T3</v>
      </c>
      <c r="V61">
        <f>IF(COUNTIF($U$2:U61, U61)=1, 1, 0)</f>
        <v>1</v>
      </c>
      <c r="W61" t="s">
        <v>424</v>
      </c>
      <c r="X61" t="s">
        <v>422</v>
      </c>
      <c r="Y61" t="str">
        <f>_xlfn.XLOOKUP(X61, codes!A:A, codes!F:F, "")</f>
        <v>M17</v>
      </c>
      <c r="Z61" t="str">
        <f>_xlfn.XLOOKUP(Y61, 'sub-themes'!A:A, 'sub-themes'!H:H, "")</f>
        <v>T3</v>
      </c>
    </row>
    <row r="62" spans="1:26" x14ac:dyDescent="0.2">
      <c r="A62">
        <v>60</v>
      </c>
      <c r="B62">
        <v>99</v>
      </c>
      <c r="C62" t="s">
        <v>7</v>
      </c>
      <c r="D62">
        <v>1</v>
      </c>
      <c r="E62">
        <v>1</v>
      </c>
      <c r="F62" t="s">
        <v>29</v>
      </c>
      <c r="G62" t="s">
        <v>87</v>
      </c>
      <c r="H62" t="str">
        <f t="shared" si="5"/>
        <v>retrieva-jp/t5-small-short</v>
      </c>
      <c r="I62" t="str">
        <f t="shared" si="8"/>
        <v>99||['migrate']||retrieva-jp/t5-small-short</v>
      </c>
      <c r="J62">
        <f>IF(COUNTIF($I$2:I62, I62)=1, 1, 0)</f>
        <v>1</v>
      </c>
      <c r="K62" t="str">
        <f t="shared" si="1"/>
        <v>99||['migrate']||retrieva-jp/t5-small-short||C59</v>
      </c>
      <c r="L62">
        <f>IF(COUNTIF($K$2:K62, K62)=1, 1, 0)</f>
        <v>1</v>
      </c>
      <c r="M62" t="str">
        <f t="shared" si="6"/>
        <v>99||['migrate']||retrieva-jp/t5-small-short||M22</v>
      </c>
      <c r="N62">
        <f>IF(COUNTIF($M$2:M62, M62)=1, 1, 0)</f>
        <v>1</v>
      </c>
      <c r="O62" t="str">
        <f t="shared" si="7"/>
        <v>99||['migrate']||retrieva-jp/t5-small-short||T5</v>
      </c>
      <c r="P62">
        <f>IF(COUNTIF($O$2:O62, O62)=1, 1, 0)</f>
        <v>1</v>
      </c>
      <c r="Q62" t="str">
        <f t="shared" si="2"/>
        <v>60||C59</v>
      </c>
      <c r="R62">
        <f>IF(COUNTIF($Q$2:Q62, Q62)=1, 1, 0)</f>
        <v>1</v>
      </c>
      <c r="S62" t="str">
        <f t="shared" si="3"/>
        <v>60||M22</v>
      </c>
      <c r="T62">
        <f>IF(COUNTIF($S$2:S62, S62)=1, 1, 0)</f>
        <v>1</v>
      </c>
      <c r="U62" t="str">
        <f t="shared" si="4"/>
        <v>60||T5</v>
      </c>
      <c r="V62">
        <f>IF(COUNTIF($U$2:U62, U62)=1, 1, 0)</f>
        <v>1</v>
      </c>
      <c r="W62" t="s">
        <v>88</v>
      </c>
      <c r="X62" t="s">
        <v>417</v>
      </c>
      <c r="Y62" t="str">
        <f>_xlfn.XLOOKUP(X62, codes!A:A, codes!F:F, "")</f>
        <v>M22</v>
      </c>
      <c r="Z62" t="str">
        <f>_xlfn.XLOOKUP(Y62, 'sub-themes'!A:A, 'sub-themes'!H:H, "")</f>
        <v>T5</v>
      </c>
    </row>
    <row r="63" spans="1:26" x14ac:dyDescent="0.2">
      <c r="A63">
        <v>61</v>
      </c>
      <c r="B63">
        <v>99</v>
      </c>
      <c r="C63" t="s">
        <v>11</v>
      </c>
      <c r="D63">
        <v>1</v>
      </c>
      <c r="E63">
        <v>1</v>
      </c>
      <c r="F63" t="s">
        <v>29</v>
      </c>
      <c r="G63" t="s">
        <v>87</v>
      </c>
      <c r="H63" t="str">
        <f t="shared" si="5"/>
        <v>retrieva-jp/t5-small-short</v>
      </c>
      <c r="I63" t="str">
        <f t="shared" si="8"/>
        <v>99||['migrate']||retrieva-jp/t5-small-short</v>
      </c>
      <c r="J63">
        <f>IF(COUNTIF($I$2:I63, I63)=1, 1, 0)</f>
        <v>0</v>
      </c>
      <c r="K63" t="str">
        <f t="shared" si="1"/>
        <v>99||['migrate']||retrieva-jp/t5-small-short||C7</v>
      </c>
      <c r="L63">
        <f>IF(COUNTIF($K$2:K63, K63)=1, 1, 0)</f>
        <v>1</v>
      </c>
      <c r="M63" t="str">
        <f t="shared" si="6"/>
        <v>99||['migrate']||retrieva-jp/t5-small-short||M7</v>
      </c>
      <c r="N63">
        <f>IF(COUNTIF($M$2:M63, M63)=1, 1, 0)</f>
        <v>1</v>
      </c>
      <c r="O63" t="str">
        <f t="shared" si="7"/>
        <v>99||['migrate']||retrieva-jp/t5-small-short||T5</v>
      </c>
      <c r="P63">
        <f>IF(COUNTIF($O$2:O63, O63)=1, 1, 0)</f>
        <v>0</v>
      </c>
      <c r="Q63" t="str">
        <f t="shared" si="2"/>
        <v>61||C7</v>
      </c>
      <c r="R63">
        <f>IF(COUNTIF($Q$2:Q63, Q63)=1, 1, 0)</f>
        <v>1</v>
      </c>
      <c r="S63" t="str">
        <f t="shared" si="3"/>
        <v>61||M7</v>
      </c>
      <c r="T63">
        <f>IF(COUNTIF($S$2:S63, S63)=1, 1, 0)</f>
        <v>1</v>
      </c>
      <c r="U63" t="str">
        <f t="shared" si="4"/>
        <v>61||T5</v>
      </c>
      <c r="V63">
        <f>IF(COUNTIF($U$2:U63, U63)=1, 1, 0)</f>
        <v>1</v>
      </c>
      <c r="W63" t="s">
        <v>539</v>
      </c>
      <c r="X63" t="s">
        <v>294</v>
      </c>
      <c r="Y63" t="str">
        <f>_xlfn.XLOOKUP(X63, codes!A:A, codes!F:F, "")</f>
        <v>M7</v>
      </c>
      <c r="Z63" t="str">
        <f>_xlfn.XLOOKUP(Y63, 'sub-themes'!A:A, 'sub-themes'!H:H, "")</f>
        <v>T5</v>
      </c>
    </row>
    <row r="64" spans="1:26" x14ac:dyDescent="0.2">
      <c r="A64">
        <v>62</v>
      </c>
      <c r="B64">
        <v>113</v>
      </c>
      <c r="C64" t="s">
        <v>15</v>
      </c>
      <c r="D64">
        <v>11</v>
      </c>
      <c r="E64">
        <v>11</v>
      </c>
      <c r="F64" t="s">
        <v>8</v>
      </c>
      <c r="G64" t="s">
        <v>89</v>
      </c>
      <c r="H64" t="str">
        <f t="shared" si="5"/>
        <v>compvis/stable-diffusion-v1-4|stabilityai/stable-diffusion-2-1-base|stabilityai/stable-diffusion-2-base|dreamlike-art/dreamlike-photoreal-2.0|segmind/ssd-1b|dreamlike-art/dreamlike-diffusion-1.0|prompthero/openjourney|microsoft/promptist|nitrosocke/redshift-diffusion|aiml-tuda/stable-diffusion-safe|22h/vintedois-diffusion-v0-1</v>
      </c>
      <c r="I64" t="str">
        <f>B64&amp;"||"&amp;F64&amp;""</f>
        <v>113||['add']</v>
      </c>
      <c r="J64">
        <f>IF(COUNTIF($I$2:I64, I64)=1, 1, 0)</f>
        <v>1</v>
      </c>
      <c r="K64" t="str">
        <f t="shared" si="1"/>
        <v>113||['add']||C31</v>
      </c>
      <c r="L64">
        <f>IF(COUNTIF($K$2:K64, K64)=1, 1, 0)</f>
        <v>1</v>
      </c>
      <c r="M64" t="str">
        <f t="shared" si="6"/>
        <v>113||['add']||M4</v>
      </c>
      <c r="N64">
        <f>IF(COUNTIF($M$2:M64, M64)=1, 1, 0)</f>
        <v>1</v>
      </c>
      <c r="O64" t="str">
        <f t="shared" si="7"/>
        <v>113||['add']||T1</v>
      </c>
      <c r="P64">
        <f>IF(COUNTIF($O$2:O64, O64)=1, 1, 0)</f>
        <v>1</v>
      </c>
      <c r="Q64" t="str">
        <f t="shared" si="2"/>
        <v>62||C31</v>
      </c>
      <c r="R64">
        <f>IF(COUNTIF($Q$2:Q64, Q64)=1, 1, 0)</f>
        <v>1</v>
      </c>
      <c r="S64" t="str">
        <f t="shared" si="3"/>
        <v>62||M4</v>
      </c>
      <c r="T64">
        <f>IF(COUNTIF($S$2:S64, S64)=1, 1, 0)</f>
        <v>1</v>
      </c>
      <c r="U64" t="str">
        <f t="shared" si="4"/>
        <v>62||T1</v>
      </c>
      <c r="V64">
        <f>IF(COUNTIF($U$2:U64, U64)=1, 1, 0)</f>
        <v>1</v>
      </c>
      <c r="W64" t="s">
        <v>90</v>
      </c>
      <c r="X64" t="s">
        <v>335</v>
      </c>
      <c r="Y64" t="str">
        <f>_xlfn.XLOOKUP(X64, codes!A:A, codes!F:F, "")</f>
        <v>M4</v>
      </c>
      <c r="Z64" t="str">
        <f>_xlfn.XLOOKUP(Y64, 'sub-themes'!A:A, 'sub-themes'!H:H, "")</f>
        <v>T1</v>
      </c>
    </row>
    <row r="65" spans="1:26" ht="17" customHeight="1" x14ac:dyDescent="0.2">
      <c r="A65">
        <v>63</v>
      </c>
      <c r="B65">
        <v>114</v>
      </c>
      <c r="C65" t="s">
        <v>47</v>
      </c>
      <c r="D65">
        <v>1</v>
      </c>
      <c r="E65">
        <v>1</v>
      </c>
      <c r="F65" t="s">
        <v>8</v>
      </c>
      <c r="G65" t="s">
        <v>91</v>
      </c>
      <c r="H65" t="str">
        <f t="shared" si="5"/>
        <v>stabilityai/stable-diffusion-x4-upscaler</v>
      </c>
      <c r="I65" t="str">
        <f t="shared" ref="I65:I96" si="9">B65 &amp; "||" &amp; F65 &amp; "||" &amp; H65</f>
        <v>114||['add']||stabilityai/stable-diffusion-x4-upscaler</v>
      </c>
      <c r="J65">
        <f>IF(COUNTIF($I$2:I65, I65)=1, 1, 0)</f>
        <v>1</v>
      </c>
      <c r="K65" t="str">
        <f t="shared" si="1"/>
        <v>114||['add']||stabilityai/stable-diffusion-x4-upscaler||C31</v>
      </c>
      <c r="L65">
        <f>IF(COUNTIF($K$2:K65, K65)=1, 1, 0)</f>
        <v>1</v>
      </c>
      <c r="M65" t="str">
        <f t="shared" si="6"/>
        <v>114||['add']||stabilityai/stable-diffusion-x4-upscaler||M4</v>
      </c>
      <c r="N65">
        <f>IF(COUNTIF($M$2:M65, M65)=1, 1, 0)</f>
        <v>1</v>
      </c>
      <c r="O65" t="str">
        <f t="shared" si="7"/>
        <v>114||['add']||stabilityai/stable-diffusion-x4-upscaler||T1</v>
      </c>
      <c r="P65">
        <f>IF(COUNTIF($O$2:O65, O65)=1, 1, 0)</f>
        <v>1</v>
      </c>
      <c r="Q65" t="str">
        <f t="shared" si="2"/>
        <v>63||C31</v>
      </c>
      <c r="R65">
        <f>IF(COUNTIF($Q$2:Q65, Q65)=1, 1, 0)</f>
        <v>1</v>
      </c>
      <c r="S65" t="str">
        <f t="shared" si="3"/>
        <v>63||M4</v>
      </c>
      <c r="T65">
        <f>IF(COUNTIF($S$2:S65, S65)=1, 1, 0)</f>
        <v>1</v>
      </c>
      <c r="U65" t="str">
        <f t="shared" si="4"/>
        <v>63||T1</v>
      </c>
      <c r="V65">
        <f>IF(COUNTIF($U$2:U65, U65)=1, 1, 0)</f>
        <v>1</v>
      </c>
      <c r="W65" t="s">
        <v>92</v>
      </c>
      <c r="X65" t="s">
        <v>335</v>
      </c>
      <c r="Y65" t="str">
        <f>_xlfn.XLOOKUP(X65, codes!A:A, codes!F:F, "")</f>
        <v>M4</v>
      </c>
      <c r="Z65" t="str">
        <f>_xlfn.XLOOKUP(Y65, 'sub-themes'!A:A, 'sub-themes'!H:H, "")</f>
        <v>T1</v>
      </c>
    </row>
    <row r="66" spans="1:26" x14ac:dyDescent="0.2">
      <c r="A66">
        <v>64</v>
      </c>
      <c r="B66">
        <v>117</v>
      </c>
      <c r="C66" t="s">
        <v>11</v>
      </c>
      <c r="D66">
        <v>2</v>
      </c>
      <c r="E66">
        <v>1</v>
      </c>
      <c r="F66" t="s">
        <v>8</v>
      </c>
      <c r="G66" t="s">
        <v>93</v>
      </c>
      <c r="H66" t="str">
        <f t="shared" si="5"/>
        <v>distilbert/distilbert-base-uncased-finetuned-sst-2-english</v>
      </c>
      <c r="I66" t="str">
        <f t="shared" si="9"/>
        <v>117||['add']||distilbert/distilbert-base-uncased-finetuned-sst-2-english</v>
      </c>
      <c r="J66">
        <f>IF(COUNTIF($I$2:I66, I66)=1, 1, 0)</f>
        <v>1</v>
      </c>
      <c r="K66" t="str">
        <f t="shared" ref="K66:K129" si="10">I66 &amp; "||" &amp; X66</f>
        <v>117||['add']||distilbert/distilbert-base-uncased-finetuned-sst-2-english||C32</v>
      </c>
      <c r="L66">
        <f>IF(COUNTIF($K$2:K66, K66)=1, 1, 0)</f>
        <v>1</v>
      </c>
      <c r="M66" t="str">
        <f t="shared" si="6"/>
        <v>117||['add']||distilbert/distilbert-base-uncased-finetuned-sst-2-english||M7</v>
      </c>
      <c r="N66">
        <f>IF(COUNTIF($M$2:M66, M66)=1, 1, 0)</f>
        <v>1</v>
      </c>
      <c r="O66" t="str">
        <f t="shared" si="7"/>
        <v>117||['add']||distilbert/distilbert-base-uncased-finetuned-sst-2-english||T5</v>
      </c>
      <c r="P66">
        <f>IF(COUNTIF($O$2:O66, O66)=1, 1, 0)</f>
        <v>1</v>
      </c>
      <c r="Q66" t="str">
        <f t="shared" ref="Q66:Q129" si="11">A66&amp; "||" &amp; X66</f>
        <v>64||C32</v>
      </c>
      <c r="R66">
        <f>IF(COUNTIF($Q$2:Q66, Q66)=1, 1, 0)</f>
        <v>1</v>
      </c>
      <c r="S66" t="str">
        <f t="shared" ref="S66:S129" si="12">A66&amp; "||" &amp; Y66</f>
        <v>64||M7</v>
      </c>
      <c r="T66">
        <f>IF(COUNTIF($S$2:S66, S66)=1, 1, 0)</f>
        <v>1</v>
      </c>
      <c r="U66" t="str">
        <f t="shared" ref="U66:U129" si="13">A66&amp; "||" &amp; Z66</f>
        <v>64||T5</v>
      </c>
      <c r="V66">
        <f>IF(COUNTIF($U$2:U66, U66)=1, 1, 0)</f>
        <v>1</v>
      </c>
      <c r="W66" t="s">
        <v>94</v>
      </c>
      <c r="X66" t="s">
        <v>337</v>
      </c>
      <c r="Y66" t="str">
        <f>_xlfn.XLOOKUP(X66, codes!A:A, codes!F:F, "")</f>
        <v>M7</v>
      </c>
      <c r="Z66" t="str">
        <f>_xlfn.XLOOKUP(Y66, 'sub-themes'!A:A, 'sub-themes'!H:H, "")</f>
        <v>T5</v>
      </c>
    </row>
    <row r="67" spans="1:26" x14ac:dyDescent="0.2">
      <c r="A67">
        <v>65</v>
      </c>
      <c r="B67">
        <v>118</v>
      </c>
      <c r="C67" t="s">
        <v>7</v>
      </c>
      <c r="D67">
        <v>6</v>
      </c>
      <c r="E67">
        <v>2</v>
      </c>
      <c r="F67" t="s">
        <v>8</v>
      </c>
      <c r="G67" t="s">
        <v>95</v>
      </c>
      <c r="H67" t="str">
        <f t="shared" ref="H67:H130" si="14">SUBSTITUTE(SUBSTITUTE(SUBSTITUTE(SUBSTITUTE(G67,"[",""),"]",""),"'",""),", ","|")</f>
        <v>spacy/da_core_news_sm|spacy/da_core_news_trf</v>
      </c>
      <c r="I67" t="str">
        <f t="shared" si="9"/>
        <v>118||['add']||spacy/da_core_news_sm|spacy/da_core_news_trf</v>
      </c>
      <c r="J67">
        <f>IF(COUNTIF($I$2:I67, I67)=1, 1, 0)</f>
        <v>1</v>
      </c>
      <c r="K67" t="str">
        <f t="shared" si="10"/>
        <v>118||['add']||spacy/da_core_news_sm|spacy/da_core_news_trf||C4</v>
      </c>
      <c r="L67">
        <f>IF(COUNTIF($K$2:K67, K67)=1, 1, 0)</f>
        <v>1</v>
      </c>
      <c r="M67" t="str">
        <f t="shared" ref="M67:M130" si="15">I67 &amp; "||" &amp; Y67</f>
        <v>118||['add']||spacy/da_core_news_sm|spacy/da_core_news_trf||M1</v>
      </c>
      <c r="N67">
        <f>IF(COUNTIF($M$2:M67, M67)=1, 1, 0)</f>
        <v>1</v>
      </c>
      <c r="O67" t="str">
        <f t="shared" ref="O67:O130" si="16">I67 &amp; "||" &amp; Z67</f>
        <v>118||['add']||spacy/da_core_news_sm|spacy/da_core_news_trf||T1</v>
      </c>
      <c r="P67">
        <f>IF(COUNTIF($O$2:O67, O67)=1, 1, 0)</f>
        <v>1</v>
      </c>
      <c r="Q67" t="str">
        <f t="shared" si="11"/>
        <v>65||C4</v>
      </c>
      <c r="R67">
        <f>IF(COUNTIF($Q$2:Q67, Q67)=1, 1, 0)</f>
        <v>1</v>
      </c>
      <c r="S67" t="str">
        <f t="shared" si="12"/>
        <v>65||M1</v>
      </c>
      <c r="T67">
        <f>IF(COUNTIF($S$2:S67, S67)=1, 1, 0)</f>
        <v>1</v>
      </c>
      <c r="U67" t="str">
        <f t="shared" si="13"/>
        <v>65||T1</v>
      </c>
      <c r="V67">
        <f>IF(COUNTIF($U$2:U67, U67)=1, 1, 0)</f>
        <v>1</v>
      </c>
      <c r="W67" t="s">
        <v>96</v>
      </c>
      <c r="X67" t="s">
        <v>288</v>
      </c>
      <c r="Y67" t="str">
        <f>_xlfn.XLOOKUP(X67, codes!A:A, codes!F:F, "")</f>
        <v>M1</v>
      </c>
      <c r="Z67" t="str">
        <f>_xlfn.XLOOKUP(Y67, 'sub-themes'!A:A, 'sub-themes'!H:H, "")</f>
        <v>T1</v>
      </c>
    </row>
    <row r="68" spans="1:26" x14ac:dyDescent="0.2">
      <c r="A68">
        <v>66</v>
      </c>
      <c r="B68">
        <v>118</v>
      </c>
      <c r="C68" t="s">
        <v>19</v>
      </c>
      <c r="D68">
        <v>6</v>
      </c>
      <c r="E68">
        <v>2</v>
      </c>
      <c r="F68" t="s">
        <v>8</v>
      </c>
      <c r="G68" t="s">
        <v>95</v>
      </c>
      <c r="H68" t="str">
        <f t="shared" si="14"/>
        <v>spacy/da_core_news_sm|spacy/da_core_news_trf</v>
      </c>
      <c r="I68" t="str">
        <f t="shared" si="9"/>
        <v>118||['add']||spacy/da_core_news_sm|spacy/da_core_news_trf</v>
      </c>
      <c r="J68">
        <f>IF(COUNTIF($I$2:I68, I68)=1, 1, 0)</f>
        <v>0</v>
      </c>
      <c r="K68" t="str">
        <f t="shared" si="10"/>
        <v>118||['add']||spacy/da_core_news_sm|spacy/da_core_news_trf||C4</v>
      </c>
      <c r="L68">
        <f>IF(COUNTIF($K$2:K68, K68)=1, 1, 0)</f>
        <v>0</v>
      </c>
      <c r="M68" t="str">
        <f t="shared" si="15"/>
        <v>118||['add']||spacy/da_core_news_sm|spacy/da_core_news_trf||M1</v>
      </c>
      <c r="N68">
        <f>IF(COUNTIF($M$2:M68, M68)=1, 1, 0)</f>
        <v>0</v>
      </c>
      <c r="O68" t="str">
        <f t="shared" si="16"/>
        <v>118||['add']||spacy/da_core_news_sm|spacy/da_core_news_trf||T1</v>
      </c>
      <c r="P68">
        <f>IF(COUNTIF($O$2:O68, O68)=1, 1, 0)</f>
        <v>0</v>
      </c>
      <c r="Q68" t="str">
        <f t="shared" si="11"/>
        <v>66||C4</v>
      </c>
      <c r="R68">
        <f>IF(COUNTIF($Q$2:Q68, Q68)=1, 1, 0)</f>
        <v>1</v>
      </c>
      <c r="S68" t="str">
        <f t="shared" si="12"/>
        <v>66||M1</v>
      </c>
      <c r="T68">
        <f>IF(COUNTIF($S$2:S68, S68)=1, 1, 0)</f>
        <v>1</v>
      </c>
      <c r="U68" t="str">
        <f t="shared" si="13"/>
        <v>66||T1</v>
      </c>
      <c r="V68">
        <f>IF(COUNTIF($U$2:U68, U68)=1, 1, 0)</f>
        <v>1</v>
      </c>
      <c r="W68" t="s">
        <v>96</v>
      </c>
      <c r="X68" t="s">
        <v>288</v>
      </c>
      <c r="Y68" t="str">
        <f>_xlfn.XLOOKUP(X68, codes!A:A, codes!F:F, "")</f>
        <v>M1</v>
      </c>
      <c r="Z68" t="str">
        <f>_xlfn.XLOOKUP(Y68, 'sub-themes'!A:A, 'sub-themes'!H:H, "")</f>
        <v>T1</v>
      </c>
    </row>
    <row r="69" spans="1:26" x14ac:dyDescent="0.2">
      <c r="A69">
        <v>67</v>
      </c>
      <c r="B69">
        <v>119</v>
      </c>
      <c r="C69" t="s">
        <v>15</v>
      </c>
      <c r="D69">
        <v>10</v>
      </c>
      <c r="E69">
        <v>2</v>
      </c>
      <c r="F69" t="s">
        <v>8</v>
      </c>
      <c r="G69" t="s">
        <v>97</v>
      </c>
      <c r="H69" t="str">
        <f t="shared" si="14"/>
        <v>stabilityai/stable-diffusion-2-1|stabilityai/stable-diffusion-2-1-base</v>
      </c>
      <c r="I69" t="str">
        <f t="shared" si="9"/>
        <v>119||['add']||stabilityai/stable-diffusion-2-1|stabilityai/stable-diffusion-2-1-base</v>
      </c>
      <c r="J69">
        <f>IF(COUNTIF($I$2:I69, I69)=1, 1, 0)</f>
        <v>1</v>
      </c>
      <c r="K69" t="str">
        <f t="shared" si="10"/>
        <v>119||['add']||stabilityai/stable-diffusion-2-1|stabilityai/stable-diffusion-2-1-base||C31</v>
      </c>
      <c r="L69">
        <f>IF(COUNTIF($K$2:K69, K69)=1, 1, 0)</f>
        <v>1</v>
      </c>
      <c r="M69" t="str">
        <f t="shared" si="15"/>
        <v>119||['add']||stabilityai/stable-diffusion-2-1|stabilityai/stable-diffusion-2-1-base||M4</v>
      </c>
      <c r="N69">
        <f>IF(COUNTIF($M$2:M69, M69)=1, 1, 0)</f>
        <v>1</v>
      </c>
      <c r="O69" t="str">
        <f t="shared" si="16"/>
        <v>119||['add']||stabilityai/stable-diffusion-2-1|stabilityai/stable-diffusion-2-1-base||T1</v>
      </c>
      <c r="P69">
        <f>IF(COUNTIF($O$2:O69, O69)=1, 1, 0)</f>
        <v>1</v>
      </c>
      <c r="Q69" t="str">
        <f t="shared" si="11"/>
        <v>67||C31</v>
      </c>
      <c r="R69">
        <f>IF(COUNTIF($Q$2:Q69, Q69)=1, 1, 0)</f>
        <v>1</v>
      </c>
      <c r="S69" t="str">
        <f t="shared" si="12"/>
        <v>67||M4</v>
      </c>
      <c r="T69">
        <f>IF(COUNTIF($S$2:S69, S69)=1, 1, 0)</f>
        <v>1</v>
      </c>
      <c r="U69" t="str">
        <f t="shared" si="13"/>
        <v>67||T1</v>
      </c>
      <c r="V69">
        <f>IF(COUNTIF($U$2:U69, U69)=1, 1, 0)</f>
        <v>1</v>
      </c>
      <c r="W69" t="s">
        <v>98</v>
      </c>
      <c r="X69" t="s">
        <v>335</v>
      </c>
      <c r="Y69" t="str">
        <f>_xlfn.XLOOKUP(X69, codes!A:A, codes!F:F, "")</f>
        <v>M4</v>
      </c>
      <c r="Z69" t="str">
        <f>_xlfn.XLOOKUP(Y69, 'sub-themes'!A:A, 'sub-themes'!H:H, "")</f>
        <v>T1</v>
      </c>
    </row>
    <row r="70" spans="1:26" x14ac:dyDescent="0.2">
      <c r="A70">
        <v>68</v>
      </c>
      <c r="B70">
        <v>122</v>
      </c>
      <c r="C70" t="s">
        <v>15</v>
      </c>
      <c r="D70">
        <v>9</v>
      </c>
      <c r="E70">
        <v>2</v>
      </c>
      <c r="F70" t="s">
        <v>8</v>
      </c>
      <c r="G70" t="s">
        <v>99</v>
      </c>
      <c r="H70" t="str">
        <f t="shared" si="14"/>
        <v>stanfordnlp/stanza-en|stanfordnlp/stanza-de</v>
      </c>
      <c r="I70" t="str">
        <f t="shared" si="9"/>
        <v>122||['add']||stanfordnlp/stanza-en|stanfordnlp/stanza-de</v>
      </c>
      <c r="J70">
        <f>IF(COUNTIF($I$2:I70, I70)=1, 1, 0)</f>
        <v>1</v>
      </c>
      <c r="K70" t="str">
        <f t="shared" si="10"/>
        <v>122||['add']||stanfordnlp/stanza-en|stanfordnlp/stanza-de||C33</v>
      </c>
      <c r="L70">
        <f>IF(COUNTIF($K$2:K70, K70)=1, 1, 0)</f>
        <v>1</v>
      </c>
      <c r="M70" t="str">
        <f t="shared" si="15"/>
        <v>122||['add']||stanfordnlp/stanza-en|stanfordnlp/stanza-de||M1</v>
      </c>
      <c r="N70">
        <f>IF(COUNTIF($M$2:M70, M70)=1, 1, 0)</f>
        <v>1</v>
      </c>
      <c r="O70" t="str">
        <f t="shared" si="16"/>
        <v>122||['add']||stanfordnlp/stanza-en|stanfordnlp/stanza-de||T1</v>
      </c>
      <c r="P70">
        <f>IF(COUNTIF($O$2:O70, O70)=1, 1, 0)</f>
        <v>1</v>
      </c>
      <c r="Q70" t="str">
        <f t="shared" si="11"/>
        <v>68||C33</v>
      </c>
      <c r="R70">
        <f>IF(COUNTIF($Q$2:Q70, Q70)=1, 1, 0)</f>
        <v>1</v>
      </c>
      <c r="S70" t="str">
        <f t="shared" si="12"/>
        <v>68||M1</v>
      </c>
      <c r="T70">
        <f>IF(COUNTIF($S$2:S70, S70)=1, 1, 0)</f>
        <v>1</v>
      </c>
      <c r="U70" t="str">
        <f t="shared" si="13"/>
        <v>68||T1</v>
      </c>
      <c r="V70">
        <f>IF(COUNTIF($U$2:U70, U70)=1, 1, 0)</f>
        <v>1</v>
      </c>
      <c r="W70" t="s">
        <v>100</v>
      </c>
      <c r="X70" t="s">
        <v>339</v>
      </c>
      <c r="Y70" t="str">
        <f>_xlfn.XLOOKUP(X70, codes!A:A, codes!F:F, "")</f>
        <v>M1</v>
      </c>
      <c r="Z70" t="str">
        <f>_xlfn.XLOOKUP(Y70, 'sub-themes'!A:A, 'sub-themes'!H:H, "")</f>
        <v>T1</v>
      </c>
    </row>
    <row r="71" spans="1:26" x14ac:dyDescent="0.2">
      <c r="A71">
        <v>69</v>
      </c>
      <c r="B71">
        <v>123</v>
      </c>
      <c r="C71" t="s">
        <v>7</v>
      </c>
      <c r="D71">
        <v>2</v>
      </c>
      <c r="E71">
        <v>1</v>
      </c>
      <c r="F71" t="s">
        <v>8</v>
      </c>
      <c r="G71" t="s">
        <v>101</v>
      </c>
      <c r="H71" t="str">
        <f t="shared" si="14"/>
        <v>stanfordnlp/stanza-th</v>
      </c>
      <c r="I71" t="str">
        <f t="shared" si="9"/>
        <v>123||['add']||stanfordnlp/stanza-th</v>
      </c>
      <c r="J71">
        <f>IF(COUNTIF($I$2:I71, I71)=1, 1, 0)</f>
        <v>1</v>
      </c>
      <c r="K71" t="str">
        <f t="shared" si="10"/>
        <v>123||['add']||stanfordnlp/stanza-th||C21</v>
      </c>
      <c r="L71">
        <f>IF(COUNTIF($K$2:K71, K71)=1, 1, 0)</f>
        <v>1</v>
      </c>
      <c r="M71" t="str">
        <f t="shared" si="15"/>
        <v>123||['add']||stanfordnlp/stanza-th||M2</v>
      </c>
      <c r="N71">
        <f>IF(COUNTIF($M$2:M71, M71)=1, 1, 0)</f>
        <v>1</v>
      </c>
      <c r="O71" t="str">
        <f t="shared" si="16"/>
        <v>123||['add']||stanfordnlp/stanza-th||T2</v>
      </c>
      <c r="P71">
        <f>IF(COUNTIF($O$2:O71, O71)=1, 1, 0)</f>
        <v>1</v>
      </c>
      <c r="Q71" t="str">
        <f t="shared" si="11"/>
        <v>69||C21</v>
      </c>
      <c r="R71">
        <f>IF(COUNTIF($Q$2:Q71, Q71)=1, 1, 0)</f>
        <v>1</v>
      </c>
      <c r="S71" t="str">
        <f t="shared" si="12"/>
        <v>69||M2</v>
      </c>
      <c r="T71">
        <f>IF(COUNTIF($S$2:S71, S71)=1, 1, 0)</f>
        <v>1</v>
      </c>
      <c r="U71" t="str">
        <f t="shared" si="13"/>
        <v>69||T2</v>
      </c>
      <c r="V71">
        <f>IF(COUNTIF($U$2:U71, U71)=1, 1, 0)</f>
        <v>1</v>
      </c>
      <c r="W71" t="s">
        <v>102</v>
      </c>
      <c r="X71" t="s">
        <v>319</v>
      </c>
      <c r="Y71" t="str">
        <f>_xlfn.XLOOKUP(X71, codes!A:A, codes!F:F, "")</f>
        <v>M2</v>
      </c>
      <c r="Z71" t="str">
        <f>_xlfn.XLOOKUP(Y71, 'sub-themes'!A:A, 'sub-themes'!H:H, "")</f>
        <v>T2</v>
      </c>
    </row>
    <row r="72" spans="1:26" x14ac:dyDescent="0.2">
      <c r="A72">
        <v>70</v>
      </c>
      <c r="B72">
        <v>124</v>
      </c>
      <c r="C72" t="s">
        <v>7</v>
      </c>
      <c r="D72">
        <v>1</v>
      </c>
      <c r="E72">
        <v>1</v>
      </c>
      <c r="F72" t="s">
        <v>8</v>
      </c>
      <c r="G72" t="s">
        <v>103</v>
      </c>
      <c r="H72" t="str">
        <f t="shared" si="14"/>
        <v>facebook/bart-large-mnli</v>
      </c>
      <c r="I72" t="str">
        <f t="shared" si="9"/>
        <v>124||['add']||facebook/bart-large-mnli</v>
      </c>
      <c r="J72">
        <f>IF(COUNTIF($I$2:I72, I72)=1, 1, 0)</f>
        <v>1</v>
      </c>
      <c r="K72" t="str">
        <f t="shared" si="10"/>
        <v>124||['add']||facebook/bart-large-mnli||C34</v>
      </c>
      <c r="L72">
        <f>IF(COUNTIF($K$2:K72, K72)=1, 1, 0)</f>
        <v>1</v>
      </c>
      <c r="M72" t="str">
        <f t="shared" si="15"/>
        <v>124||['add']||facebook/bart-large-mnli||M1</v>
      </c>
      <c r="N72">
        <f>IF(COUNTIF($M$2:M72, M72)=1, 1, 0)</f>
        <v>1</v>
      </c>
      <c r="O72" t="str">
        <f t="shared" si="16"/>
        <v>124||['add']||facebook/bart-large-mnli||T1</v>
      </c>
      <c r="P72">
        <f>IF(COUNTIF($O$2:O72, O72)=1, 1, 0)</f>
        <v>1</v>
      </c>
      <c r="Q72" t="str">
        <f t="shared" si="11"/>
        <v>70||C34</v>
      </c>
      <c r="R72">
        <f>IF(COUNTIF($Q$2:Q72, Q72)=1, 1, 0)</f>
        <v>1</v>
      </c>
      <c r="S72" t="str">
        <f t="shared" si="12"/>
        <v>70||M1</v>
      </c>
      <c r="T72">
        <f>IF(COUNTIF($S$2:S72, S72)=1, 1, 0)</f>
        <v>1</v>
      </c>
      <c r="U72" t="str">
        <f t="shared" si="13"/>
        <v>70||T1</v>
      </c>
      <c r="V72">
        <f>IF(COUNTIF($U$2:U72, U72)=1, 1, 0)</f>
        <v>1</v>
      </c>
      <c r="W72" t="s">
        <v>104</v>
      </c>
      <c r="X72" t="s">
        <v>341</v>
      </c>
      <c r="Y72" t="str">
        <f>_xlfn.XLOOKUP(X72, codes!A:A, codes!F:F, "")</f>
        <v>M1</v>
      </c>
      <c r="Z72" t="str">
        <f>_xlfn.XLOOKUP(Y72, 'sub-themes'!A:A, 'sub-themes'!H:H, "")</f>
        <v>T1</v>
      </c>
    </row>
    <row r="73" spans="1:26" x14ac:dyDescent="0.2">
      <c r="A73">
        <v>71</v>
      </c>
      <c r="B73">
        <v>128</v>
      </c>
      <c r="C73" t="s">
        <v>7</v>
      </c>
      <c r="D73">
        <v>2</v>
      </c>
      <c r="E73">
        <v>1</v>
      </c>
      <c r="F73" t="s">
        <v>29</v>
      </c>
      <c r="G73" t="s">
        <v>25</v>
      </c>
      <c r="H73" t="str">
        <f t="shared" si="14"/>
        <v>prajjwal1/bert-tiny</v>
      </c>
      <c r="I73" t="str">
        <f t="shared" si="9"/>
        <v>128||['migrate']||prajjwal1/bert-tiny</v>
      </c>
      <c r="J73">
        <f>IF(COUNTIF($I$2:I73, I73)=1, 1, 0)</f>
        <v>1</v>
      </c>
      <c r="K73" t="str">
        <f t="shared" si="10"/>
        <v>128||['migrate']||prajjwal1/bert-tiny||C22</v>
      </c>
      <c r="L73">
        <f>IF(COUNTIF($K$2:K73, K73)=1, 1, 0)</f>
        <v>1</v>
      </c>
      <c r="M73" t="str">
        <f t="shared" si="15"/>
        <v>128||['migrate']||prajjwal1/bert-tiny||M22</v>
      </c>
      <c r="N73">
        <f>IF(COUNTIF($M$2:M73, M73)=1, 1, 0)</f>
        <v>1</v>
      </c>
      <c r="O73" t="str">
        <f t="shared" si="16"/>
        <v>128||['migrate']||prajjwal1/bert-tiny||T5</v>
      </c>
      <c r="P73">
        <f>IF(COUNTIF($O$2:O73, O73)=1, 1, 0)</f>
        <v>1</v>
      </c>
      <c r="Q73" t="str">
        <f t="shared" si="11"/>
        <v>71||C22</v>
      </c>
      <c r="R73">
        <f>IF(COUNTIF($Q$2:Q73, Q73)=1, 1, 0)</f>
        <v>1</v>
      </c>
      <c r="S73" t="str">
        <f t="shared" si="12"/>
        <v>71||M22</v>
      </c>
      <c r="T73">
        <f>IF(COUNTIF($S$2:S73, S73)=1, 1, 0)</f>
        <v>1</v>
      </c>
      <c r="U73" t="str">
        <f t="shared" si="13"/>
        <v>71||T5</v>
      </c>
      <c r="V73">
        <f>IF(COUNTIF($U$2:U73, U73)=1, 1, 0)</f>
        <v>1</v>
      </c>
      <c r="W73" t="s">
        <v>105</v>
      </c>
      <c r="X73" t="s">
        <v>320</v>
      </c>
      <c r="Y73" t="str">
        <f>_xlfn.XLOOKUP(X73, codes!A:A, codes!F:F, "")</f>
        <v>M22</v>
      </c>
      <c r="Z73" t="str">
        <f>_xlfn.XLOOKUP(Y73, 'sub-themes'!A:A, 'sub-themes'!H:H, "")</f>
        <v>T5</v>
      </c>
    </row>
    <row r="74" spans="1:26" x14ac:dyDescent="0.2">
      <c r="A74">
        <v>72</v>
      </c>
      <c r="B74">
        <v>129</v>
      </c>
      <c r="C74" t="s">
        <v>15</v>
      </c>
      <c r="D74">
        <v>4</v>
      </c>
      <c r="E74">
        <v>1</v>
      </c>
      <c r="F74" t="s">
        <v>8</v>
      </c>
      <c r="G74" t="s">
        <v>48</v>
      </c>
      <c r="H74" t="str">
        <f t="shared" si="14"/>
        <v>sentence-transformers/all-minilm-l6-v2</v>
      </c>
      <c r="I74" t="str">
        <f t="shared" si="9"/>
        <v>129||['add']||sentence-transformers/all-minilm-l6-v2</v>
      </c>
      <c r="J74">
        <f>IF(COUNTIF($I$2:I74, I74)=1, 1, 0)</f>
        <v>1</v>
      </c>
      <c r="K74" t="str">
        <f t="shared" si="10"/>
        <v>129||['add']||sentence-transformers/all-minilm-l6-v2||C56</v>
      </c>
      <c r="L74">
        <f>IF(COUNTIF($K$2:K74, K74)=1, 1, 0)</f>
        <v>1</v>
      </c>
      <c r="M74" t="str">
        <f t="shared" si="15"/>
        <v>129||['add']||sentence-transformers/all-minilm-l6-v2||M21</v>
      </c>
      <c r="N74">
        <f>IF(COUNTIF($M$2:M74, M74)=1, 1, 0)</f>
        <v>1</v>
      </c>
      <c r="O74" t="str">
        <f t="shared" si="16"/>
        <v>129||['add']||sentence-transformers/all-minilm-l6-v2||T2</v>
      </c>
      <c r="P74">
        <f>IF(COUNTIF($O$2:O74, O74)=1, 1, 0)</f>
        <v>1</v>
      </c>
      <c r="Q74" t="str">
        <f t="shared" si="11"/>
        <v>72||C56</v>
      </c>
      <c r="R74">
        <f>IF(COUNTIF($Q$2:Q74, Q74)=1, 1, 0)</f>
        <v>1</v>
      </c>
      <c r="S74" t="str">
        <f t="shared" si="12"/>
        <v>72||M21</v>
      </c>
      <c r="T74">
        <f>IF(COUNTIF($S$2:S74, S74)=1, 1, 0)</f>
        <v>1</v>
      </c>
      <c r="U74" t="str">
        <f t="shared" si="13"/>
        <v>72||T2</v>
      </c>
      <c r="V74">
        <f>IF(COUNTIF($U$2:U74, U74)=1, 1, 0)</f>
        <v>1</v>
      </c>
      <c r="W74" t="s">
        <v>106</v>
      </c>
      <c r="X74" t="s">
        <v>410</v>
      </c>
      <c r="Y74" t="str">
        <f>_xlfn.XLOOKUP(X74, codes!A:A, codes!F:F, "")</f>
        <v>M21</v>
      </c>
      <c r="Z74" t="str">
        <f>_xlfn.XLOOKUP(Y74, 'sub-themes'!A:A, 'sub-themes'!H:H, "")</f>
        <v>T2</v>
      </c>
    </row>
    <row r="75" spans="1:26" x14ac:dyDescent="0.2">
      <c r="A75">
        <v>73</v>
      </c>
      <c r="B75">
        <v>129</v>
      </c>
      <c r="C75" t="s">
        <v>7</v>
      </c>
      <c r="D75">
        <v>4</v>
      </c>
      <c r="E75">
        <v>1</v>
      </c>
      <c r="F75" t="s">
        <v>8</v>
      </c>
      <c r="G75" t="s">
        <v>48</v>
      </c>
      <c r="H75" t="str">
        <f t="shared" si="14"/>
        <v>sentence-transformers/all-minilm-l6-v2</v>
      </c>
      <c r="I75" t="str">
        <f t="shared" si="9"/>
        <v>129||['add']||sentence-transformers/all-minilm-l6-v2</v>
      </c>
      <c r="J75">
        <f>IF(COUNTIF($I$2:I75, I75)=1, 1, 0)</f>
        <v>0</v>
      </c>
      <c r="K75" t="str">
        <f t="shared" si="10"/>
        <v>129||['add']||sentence-transformers/all-minilm-l6-v2||C56</v>
      </c>
      <c r="L75">
        <f>IF(COUNTIF($K$2:K75, K75)=1, 1, 0)</f>
        <v>0</v>
      </c>
      <c r="M75" t="str">
        <f t="shared" si="15"/>
        <v>129||['add']||sentence-transformers/all-minilm-l6-v2||M21</v>
      </c>
      <c r="N75">
        <f>IF(COUNTIF($M$2:M75, M75)=1, 1, 0)</f>
        <v>0</v>
      </c>
      <c r="O75" t="str">
        <f t="shared" si="16"/>
        <v>129||['add']||sentence-transformers/all-minilm-l6-v2||T2</v>
      </c>
      <c r="P75">
        <f>IF(COUNTIF($O$2:O75, O75)=1, 1, 0)</f>
        <v>0</v>
      </c>
      <c r="Q75" t="str">
        <f t="shared" si="11"/>
        <v>73||C56</v>
      </c>
      <c r="R75">
        <f>IF(COUNTIF($Q$2:Q75, Q75)=1, 1, 0)</f>
        <v>1</v>
      </c>
      <c r="S75" t="str">
        <f t="shared" si="12"/>
        <v>73||M21</v>
      </c>
      <c r="T75">
        <f>IF(COUNTIF($S$2:S75, S75)=1, 1, 0)</f>
        <v>1</v>
      </c>
      <c r="U75" t="str">
        <f t="shared" si="13"/>
        <v>73||T2</v>
      </c>
      <c r="V75">
        <f>IF(COUNTIF($U$2:U75, U75)=1, 1, 0)</f>
        <v>1</v>
      </c>
      <c r="W75" t="s">
        <v>107</v>
      </c>
      <c r="X75" t="s">
        <v>410</v>
      </c>
      <c r="Y75" t="str">
        <f>_xlfn.XLOOKUP(X75, codes!A:A, codes!F:F, "")</f>
        <v>M21</v>
      </c>
      <c r="Z75" t="str">
        <f>_xlfn.XLOOKUP(Y75, 'sub-themes'!A:A, 'sub-themes'!H:H, "")</f>
        <v>T2</v>
      </c>
    </row>
    <row r="76" spans="1:26" x14ac:dyDescent="0.2">
      <c r="A76">
        <v>74</v>
      </c>
      <c r="B76">
        <v>129</v>
      </c>
      <c r="C76" t="s">
        <v>19</v>
      </c>
      <c r="D76">
        <v>4</v>
      </c>
      <c r="E76">
        <v>1</v>
      </c>
      <c r="F76" t="s">
        <v>8</v>
      </c>
      <c r="G76" t="s">
        <v>48</v>
      </c>
      <c r="H76" t="str">
        <f t="shared" si="14"/>
        <v>sentence-transformers/all-minilm-l6-v2</v>
      </c>
      <c r="I76" t="str">
        <f t="shared" si="9"/>
        <v>129||['add']||sentence-transformers/all-minilm-l6-v2</v>
      </c>
      <c r="J76">
        <f>IF(COUNTIF($I$2:I76, I76)=1, 1, 0)</f>
        <v>0</v>
      </c>
      <c r="K76" t="str">
        <f t="shared" si="10"/>
        <v>129||['add']||sentence-transformers/all-minilm-l6-v2||C56</v>
      </c>
      <c r="L76">
        <f>IF(COUNTIF($K$2:K76, K76)=1, 1, 0)</f>
        <v>0</v>
      </c>
      <c r="M76" t="str">
        <f t="shared" si="15"/>
        <v>129||['add']||sentence-transformers/all-minilm-l6-v2||M21</v>
      </c>
      <c r="N76">
        <f>IF(COUNTIF($M$2:M76, M76)=1, 1, 0)</f>
        <v>0</v>
      </c>
      <c r="O76" t="str">
        <f t="shared" si="16"/>
        <v>129||['add']||sentence-transformers/all-minilm-l6-v2||T2</v>
      </c>
      <c r="P76">
        <f>IF(COUNTIF($O$2:O76, O76)=1, 1, 0)</f>
        <v>0</v>
      </c>
      <c r="Q76" t="str">
        <f t="shared" si="11"/>
        <v>74||C56</v>
      </c>
      <c r="R76">
        <f>IF(COUNTIF($Q$2:Q76, Q76)=1, 1, 0)</f>
        <v>1</v>
      </c>
      <c r="S76" t="str">
        <f t="shared" si="12"/>
        <v>74||M21</v>
      </c>
      <c r="T76">
        <f>IF(COUNTIF($S$2:S76, S76)=1, 1, 0)</f>
        <v>1</v>
      </c>
      <c r="U76" t="str">
        <f t="shared" si="13"/>
        <v>74||T2</v>
      </c>
      <c r="V76">
        <f>IF(COUNTIF($U$2:U76, U76)=1, 1, 0)</f>
        <v>1</v>
      </c>
      <c r="W76" t="s">
        <v>108</v>
      </c>
      <c r="X76" t="s">
        <v>410</v>
      </c>
      <c r="Y76" t="str">
        <f>_xlfn.XLOOKUP(X76, codes!A:A, codes!F:F, "")</f>
        <v>M21</v>
      </c>
      <c r="Z76" t="str">
        <f>_xlfn.XLOOKUP(Y76, 'sub-themes'!A:A, 'sub-themes'!H:H, "")</f>
        <v>T2</v>
      </c>
    </row>
    <row r="77" spans="1:26" x14ac:dyDescent="0.2">
      <c r="A77">
        <v>75</v>
      </c>
      <c r="B77">
        <v>130</v>
      </c>
      <c r="C77" t="s">
        <v>7</v>
      </c>
      <c r="D77">
        <v>3</v>
      </c>
      <c r="E77">
        <v>2</v>
      </c>
      <c r="F77" t="s">
        <v>29</v>
      </c>
      <c r="G77" t="s">
        <v>109</v>
      </c>
      <c r="H77" t="str">
        <f t="shared" si="14"/>
        <v>csarron/mobilebert-uncased-squad-v2|google/tapas-tiny-finetuned-sqa</v>
      </c>
      <c r="I77" t="str">
        <f t="shared" si="9"/>
        <v>130||['migrate']||csarron/mobilebert-uncased-squad-v2|google/tapas-tiny-finetuned-sqa</v>
      </c>
      <c r="J77">
        <f>IF(COUNTIF($I$2:I77, I77)=1, 1, 0)</f>
        <v>1</v>
      </c>
      <c r="K77" t="str">
        <f t="shared" si="10"/>
        <v>130||['migrate']||csarron/mobilebert-uncased-squad-v2|google/tapas-tiny-finetuned-sqa||C69</v>
      </c>
      <c r="L77">
        <f>IF(COUNTIF($K$2:K77, K77)=1, 1, 0)</f>
        <v>1</v>
      </c>
      <c r="M77" t="str">
        <f t="shared" si="15"/>
        <v>130||['migrate']||csarron/mobilebert-uncased-squad-v2|google/tapas-tiny-finetuned-sqa||M5</v>
      </c>
      <c r="N77">
        <f>IF(COUNTIF($M$2:M77, M77)=1, 1, 0)</f>
        <v>1</v>
      </c>
      <c r="O77" t="str">
        <f t="shared" si="16"/>
        <v>130||['migrate']||csarron/mobilebert-uncased-squad-v2|google/tapas-tiny-finetuned-sqa||T4</v>
      </c>
      <c r="P77">
        <f>IF(COUNTIF($O$2:O77, O77)=1, 1, 0)</f>
        <v>1</v>
      </c>
      <c r="Q77" t="str">
        <f t="shared" si="11"/>
        <v>75||C69</v>
      </c>
      <c r="R77">
        <f>IF(COUNTIF($Q$2:Q77, Q77)=1, 1, 0)</f>
        <v>1</v>
      </c>
      <c r="S77" t="str">
        <f t="shared" si="12"/>
        <v>75||M5</v>
      </c>
      <c r="T77">
        <f>IF(COUNTIF($S$2:S77, S77)=1, 1, 0)</f>
        <v>1</v>
      </c>
      <c r="U77" t="str">
        <f t="shared" si="13"/>
        <v>75||T4</v>
      </c>
      <c r="V77">
        <f>IF(COUNTIF($U$2:U77, U77)=1, 1, 0)</f>
        <v>1</v>
      </c>
      <c r="W77" t="s">
        <v>438</v>
      </c>
      <c r="X77" t="s">
        <v>436</v>
      </c>
      <c r="Y77" t="str">
        <f>_xlfn.XLOOKUP(X77, codes!A:A, codes!F:F, "")</f>
        <v>M5</v>
      </c>
      <c r="Z77" t="str">
        <f>_xlfn.XLOOKUP(Y77, 'sub-themes'!A:A, 'sub-themes'!H:H, "")</f>
        <v>T4</v>
      </c>
    </row>
    <row r="78" spans="1:26" x14ac:dyDescent="0.2">
      <c r="A78">
        <v>76</v>
      </c>
      <c r="B78">
        <v>130</v>
      </c>
      <c r="C78" t="s">
        <v>19</v>
      </c>
      <c r="D78">
        <v>3</v>
      </c>
      <c r="E78">
        <v>2</v>
      </c>
      <c r="F78" t="s">
        <v>29</v>
      </c>
      <c r="G78" t="s">
        <v>109</v>
      </c>
      <c r="H78" t="str">
        <f t="shared" si="14"/>
        <v>csarron/mobilebert-uncased-squad-v2|google/tapas-tiny-finetuned-sqa</v>
      </c>
      <c r="I78" t="str">
        <f t="shared" si="9"/>
        <v>130||['migrate']||csarron/mobilebert-uncased-squad-v2|google/tapas-tiny-finetuned-sqa</v>
      </c>
      <c r="J78">
        <f>IF(COUNTIF($I$2:I78, I78)=1, 1, 0)</f>
        <v>0</v>
      </c>
      <c r="K78" t="str">
        <f t="shared" si="10"/>
        <v>130||['migrate']||csarron/mobilebert-uncased-squad-v2|google/tapas-tiny-finetuned-sqa||C69</v>
      </c>
      <c r="L78">
        <f>IF(COUNTIF($K$2:K78, K78)=1, 1, 0)</f>
        <v>0</v>
      </c>
      <c r="M78" t="str">
        <f t="shared" si="15"/>
        <v>130||['migrate']||csarron/mobilebert-uncased-squad-v2|google/tapas-tiny-finetuned-sqa||M5</v>
      </c>
      <c r="N78">
        <f>IF(COUNTIF($M$2:M78, M78)=1, 1, 0)</f>
        <v>0</v>
      </c>
      <c r="O78" t="str">
        <f t="shared" si="16"/>
        <v>130||['migrate']||csarron/mobilebert-uncased-squad-v2|google/tapas-tiny-finetuned-sqa||T4</v>
      </c>
      <c r="P78">
        <f>IF(COUNTIF($O$2:O78, O78)=1, 1, 0)</f>
        <v>0</v>
      </c>
      <c r="Q78" t="str">
        <f t="shared" si="11"/>
        <v>76||C69</v>
      </c>
      <c r="R78">
        <f>IF(COUNTIF($Q$2:Q78, Q78)=1, 1, 0)</f>
        <v>1</v>
      </c>
      <c r="S78" t="str">
        <f t="shared" si="12"/>
        <v>76||M5</v>
      </c>
      <c r="T78">
        <f>IF(COUNTIF($S$2:S78, S78)=1, 1, 0)</f>
        <v>1</v>
      </c>
      <c r="U78" t="str">
        <f t="shared" si="13"/>
        <v>76||T4</v>
      </c>
      <c r="V78">
        <f>IF(COUNTIF($U$2:U78, U78)=1, 1, 0)</f>
        <v>1</v>
      </c>
      <c r="W78" t="s">
        <v>110</v>
      </c>
      <c r="X78" t="s">
        <v>436</v>
      </c>
      <c r="Y78" t="str">
        <f>_xlfn.XLOOKUP(X78, codes!A:A, codes!F:F, "")</f>
        <v>M5</v>
      </c>
      <c r="Z78" t="str">
        <f>_xlfn.XLOOKUP(Y78, 'sub-themes'!A:A, 'sub-themes'!H:H, "")</f>
        <v>T4</v>
      </c>
    </row>
    <row r="79" spans="1:26" x14ac:dyDescent="0.2">
      <c r="A79">
        <v>77</v>
      </c>
      <c r="B79">
        <v>134</v>
      </c>
      <c r="C79" t="s">
        <v>7</v>
      </c>
      <c r="D79">
        <v>2</v>
      </c>
      <c r="E79">
        <v>1</v>
      </c>
      <c r="F79" t="s">
        <v>8</v>
      </c>
      <c r="G79" t="s">
        <v>111</v>
      </c>
      <c r="H79" t="str">
        <f t="shared" si="14"/>
        <v>distilbert/distilbert-base-uncased</v>
      </c>
      <c r="I79" t="str">
        <f t="shared" si="9"/>
        <v>134||['add']||distilbert/distilbert-base-uncased</v>
      </c>
      <c r="J79">
        <f>IF(COUNTIF($I$2:I79, I79)=1, 1, 0)</f>
        <v>1</v>
      </c>
      <c r="K79" t="str">
        <f t="shared" si="10"/>
        <v>134||['add']||distilbert/distilbert-base-uncased||C59</v>
      </c>
      <c r="L79">
        <f>IF(COUNTIF($K$2:K79, K79)=1, 1, 0)</f>
        <v>1</v>
      </c>
      <c r="M79" t="str">
        <f t="shared" si="15"/>
        <v>134||['add']||distilbert/distilbert-base-uncased||M22</v>
      </c>
      <c r="N79">
        <f>IF(COUNTIF($M$2:M79, M79)=1, 1, 0)</f>
        <v>1</v>
      </c>
      <c r="O79" t="str">
        <f t="shared" si="16"/>
        <v>134||['add']||distilbert/distilbert-base-uncased||T5</v>
      </c>
      <c r="P79">
        <f>IF(COUNTIF($O$2:O79, O79)=1, 1, 0)</f>
        <v>1</v>
      </c>
      <c r="Q79" t="str">
        <f t="shared" si="11"/>
        <v>77||C59</v>
      </c>
      <c r="R79">
        <f>IF(COUNTIF($Q$2:Q79, Q79)=1, 1, 0)</f>
        <v>1</v>
      </c>
      <c r="S79" t="str">
        <f t="shared" si="12"/>
        <v>77||M22</v>
      </c>
      <c r="T79">
        <f>IF(COUNTIF($S$2:S79, S79)=1, 1, 0)</f>
        <v>1</v>
      </c>
      <c r="U79" t="str">
        <f t="shared" si="13"/>
        <v>77||T5</v>
      </c>
      <c r="V79">
        <f>IF(COUNTIF($U$2:U79, U79)=1, 1, 0)</f>
        <v>1</v>
      </c>
      <c r="W79" t="s">
        <v>112</v>
      </c>
      <c r="X79" t="s">
        <v>417</v>
      </c>
      <c r="Y79" t="str">
        <f>_xlfn.XLOOKUP(X79, codes!A:A, codes!F:F, "")</f>
        <v>M22</v>
      </c>
      <c r="Z79" t="str">
        <f>_xlfn.XLOOKUP(Y79, 'sub-themes'!A:A, 'sub-themes'!H:H, "")</f>
        <v>T5</v>
      </c>
    </row>
    <row r="80" spans="1:26" x14ac:dyDescent="0.2">
      <c r="A80">
        <v>78</v>
      </c>
      <c r="B80">
        <v>134</v>
      </c>
      <c r="C80" t="s">
        <v>19</v>
      </c>
      <c r="D80">
        <v>2</v>
      </c>
      <c r="E80">
        <v>1</v>
      </c>
      <c r="F80" t="s">
        <v>8</v>
      </c>
      <c r="G80" t="s">
        <v>111</v>
      </c>
      <c r="H80" t="str">
        <f t="shared" si="14"/>
        <v>distilbert/distilbert-base-uncased</v>
      </c>
      <c r="I80" t="str">
        <f t="shared" si="9"/>
        <v>134||['add']||distilbert/distilbert-base-uncased</v>
      </c>
      <c r="J80">
        <f>IF(COUNTIF($I$2:I80, I80)=1, 1, 0)</f>
        <v>0</v>
      </c>
      <c r="K80" t="str">
        <f t="shared" si="10"/>
        <v>134||['add']||distilbert/distilbert-base-uncased||C59</v>
      </c>
      <c r="L80">
        <f>IF(COUNTIF($K$2:K80, K80)=1, 1, 0)</f>
        <v>0</v>
      </c>
      <c r="M80" t="str">
        <f t="shared" si="15"/>
        <v>134||['add']||distilbert/distilbert-base-uncased||M22</v>
      </c>
      <c r="N80">
        <f>IF(COUNTIF($M$2:M80, M80)=1, 1, 0)</f>
        <v>0</v>
      </c>
      <c r="O80" t="str">
        <f t="shared" si="16"/>
        <v>134||['add']||distilbert/distilbert-base-uncased||T5</v>
      </c>
      <c r="P80">
        <f>IF(COUNTIF($O$2:O80, O80)=1, 1, 0)</f>
        <v>0</v>
      </c>
      <c r="Q80" t="str">
        <f t="shared" si="11"/>
        <v>78||C59</v>
      </c>
      <c r="R80">
        <f>IF(COUNTIF($Q$2:Q80, Q80)=1, 1, 0)</f>
        <v>1</v>
      </c>
      <c r="S80" t="str">
        <f t="shared" si="12"/>
        <v>78||M22</v>
      </c>
      <c r="T80">
        <f>IF(COUNTIF($S$2:S80, S80)=1, 1, 0)</f>
        <v>1</v>
      </c>
      <c r="U80" t="str">
        <f t="shared" si="13"/>
        <v>78||T5</v>
      </c>
      <c r="V80">
        <f>IF(COUNTIF($U$2:U80, U80)=1, 1, 0)</f>
        <v>1</v>
      </c>
      <c r="W80" t="s">
        <v>113</v>
      </c>
      <c r="X80" t="s">
        <v>417</v>
      </c>
      <c r="Y80" t="str">
        <f>_xlfn.XLOOKUP(X80, codes!A:A, codes!F:F, "")</f>
        <v>M22</v>
      </c>
      <c r="Z80" t="str">
        <f>_xlfn.XLOOKUP(Y80, 'sub-themes'!A:A, 'sub-themes'!H:H, "")</f>
        <v>T5</v>
      </c>
    </row>
    <row r="81" spans="1:26" x14ac:dyDescent="0.2">
      <c r="A81">
        <v>79</v>
      </c>
      <c r="B81">
        <v>136</v>
      </c>
      <c r="C81" t="s">
        <v>7</v>
      </c>
      <c r="D81">
        <v>3</v>
      </c>
      <c r="E81">
        <v>2</v>
      </c>
      <c r="F81" t="s">
        <v>8</v>
      </c>
      <c r="G81" t="s">
        <v>114</v>
      </c>
      <c r="H81" t="str">
        <f t="shared" si="14"/>
        <v>distilbert/distilgpt2|distilbert/distilroberta-base</v>
      </c>
      <c r="I81" t="str">
        <f t="shared" si="9"/>
        <v>136||['add']||distilbert/distilgpt2|distilbert/distilroberta-base</v>
      </c>
      <c r="J81">
        <f>IF(COUNTIF($I$2:I81, I81)=1, 1, 0)</f>
        <v>1</v>
      </c>
      <c r="K81" t="str">
        <f t="shared" si="10"/>
        <v>136||['add']||distilbert/distilgpt2|distilbert/distilroberta-base||C22</v>
      </c>
      <c r="L81">
        <f>IF(COUNTIF($K$2:K81, K81)=1, 1, 0)</f>
        <v>1</v>
      </c>
      <c r="M81" t="str">
        <f t="shared" si="15"/>
        <v>136||['add']||distilbert/distilgpt2|distilbert/distilroberta-base||M22</v>
      </c>
      <c r="N81">
        <f>IF(COUNTIF($M$2:M81, M81)=1, 1, 0)</f>
        <v>1</v>
      </c>
      <c r="O81" t="str">
        <f t="shared" si="16"/>
        <v>136||['add']||distilbert/distilgpt2|distilbert/distilroberta-base||T5</v>
      </c>
      <c r="P81">
        <f>IF(COUNTIF($O$2:O81, O81)=1, 1, 0)</f>
        <v>1</v>
      </c>
      <c r="Q81" t="str">
        <f t="shared" si="11"/>
        <v>79||C22</v>
      </c>
      <c r="R81">
        <f>IF(COUNTIF($Q$2:Q81, Q81)=1, 1, 0)</f>
        <v>1</v>
      </c>
      <c r="S81" t="str">
        <f t="shared" si="12"/>
        <v>79||M22</v>
      </c>
      <c r="T81">
        <f>IF(COUNTIF($S$2:S81, S81)=1, 1, 0)</f>
        <v>1</v>
      </c>
      <c r="U81" t="str">
        <f t="shared" si="13"/>
        <v>79||T5</v>
      </c>
      <c r="V81">
        <f>IF(COUNTIF($U$2:U81, U81)=1, 1, 0)</f>
        <v>1</v>
      </c>
      <c r="W81" t="s">
        <v>115</v>
      </c>
      <c r="X81" t="s">
        <v>320</v>
      </c>
      <c r="Y81" t="str">
        <f>_xlfn.XLOOKUP(X81, codes!A:A, codes!F:F, "")</f>
        <v>M22</v>
      </c>
      <c r="Z81" t="str">
        <f>_xlfn.XLOOKUP(Y81, 'sub-themes'!A:A, 'sub-themes'!H:H, "")</f>
        <v>T5</v>
      </c>
    </row>
    <row r="82" spans="1:26" x14ac:dyDescent="0.2">
      <c r="A82">
        <v>80</v>
      </c>
      <c r="B82">
        <v>136</v>
      </c>
      <c r="C82" t="s">
        <v>19</v>
      </c>
      <c r="D82">
        <v>3</v>
      </c>
      <c r="E82">
        <v>2</v>
      </c>
      <c r="F82" t="s">
        <v>8</v>
      </c>
      <c r="G82" t="s">
        <v>114</v>
      </c>
      <c r="H82" t="str">
        <f t="shared" si="14"/>
        <v>distilbert/distilgpt2|distilbert/distilroberta-base</v>
      </c>
      <c r="I82" t="str">
        <f t="shared" si="9"/>
        <v>136||['add']||distilbert/distilgpt2|distilbert/distilroberta-base</v>
      </c>
      <c r="J82">
        <f>IF(COUNTIF($I$2:I82, I82)=1, 1, 0)</f>
        <v>0</v>
      </c>
      <c r="K82" t="str">
        <f t="shared" si="10"/>
        <v>136||['add']||distilbert/distilgpt2|distilbert/distilroberta-base||C22</v>
      </c>
      <c r="L82">
        <f>IF(COUNTIF($K$2:K82, K82)=1, 1, 0)</f>
        <v>0</v>
      </c>
      <c r="M82" t="str">
        <f t="shared" si="15"/>
        <v>136||['add']||distilbert/distilgpt2|distilbert/distilroberta-base||M22</v>
      </c>
      <c r="N82">
        <f>IF(COUNTIF($M$2:M82, M82)=1, 1, 0)</f>
        <v>0</v>
      </c>
      <c r="O82" t="str">
        <f t="shared" si="16"/>
        <v>136||['add']||distilbert/distilgpt2|distilbert/distilroberta-base||T5</v>
      </c>
      <c r="P82">
        <f>IF(COUNTIF($O$2:O82, O82)=1, 1, 0)</f>
        <v>0</v>
      </c>
      <c r="Q82" t="str">
        <f t="shared" si="11"/>
        <v>80||C22</v>
      </c>
      <c r="R82">
        <f>IF(COUNTIF($Q$2:Q82, Q82)=1, 1, 0)</f>
        <v>1</v>
      </c>
      <c r="S82" t="str">
        <f t="shared" si="12"/>
        <v>80||M22</v>
      </c>
      <c r="T82">
        <f>IF(COUNTIF($S$2:S82, S82)=1, 1, 0)</f>
        <v>1</v>
      </c>
      <c r="U82" t="str">
        <f t="shared" si="13"/>
        <v>80||T5</v>
      </c>
      <c r="V82">
        <f>IF(COUNTIF($U$2:U82, U82)=1, 1, 0)</f>
        <v>1</v>
      </c>
      <c r="W82" t="s">
        <v>115</v>
      </c>
      <c r="X82" t="s">
        <v>320</v>
      </c>
      <c r="Y82" t="str">
        <f>_xlfn.XLOOKUP(X82, codes!A:A, codes!F:F, "")</f>
        <v>M22</v>
      </c>
      <c r="Z82" t="str">
        <f>_xlfn.XLOOKUP(Y82, 'sub-themes'!A:A, 'sub-themes'!H:H, "")</f>
        <v>T5</v>
      </c>
    </row>
    <row r="83" spans="1:26" x14ac:dyDescent="0.2">
      <c r="A83">
        <v>13</v>
      </c>
      <c r="B83">
        <v>137</v>
      </c>
      <c r="C83" t="s">
        <v>19</v>
      </c>
      <c r="D83">
        <v>1</v>
      </c>
      <c r="E83">
        <v>1</v>
      </c>
      <c r="F83" t="s">
        <v>8</v>
      </c>
      <c r="G83" t="s">
        <v>32</v>
      </c>
      <c r="H83" t="str">
        <f t="shared" si="14"/>
        <v>alibaba-nlp/gte-base-en-v1.5</v>
      </c>
      <c r="I83" t="str">
        <f t="shared" si="9"/>
        <v>137||['add']||alibaba-nlp/gte-base-en-v1.5</v>
      </c>
      <c r="J83">
        <f>IF(COUNTIF($I$2:I83, I83)=1, 1, 0)</f>
        <v>1</v>
      </c>
      <c r="K83" t="str">
        <f t="shared" si="10"/>
        <v>137||['add']||alibaba-nlp/gte-base-en-v1.5||C8</v>
      </c>
      <c r="L83">
        <f>IF(COUNTIF($K$2:K83, K83)=1, 1, 0)</f>
        <v>1</v>
      </c>
      <c r="M83" t="str">
        <f t="shared" si="15"/>
        <v>137||['add']||alibaba-nlp/gte-base-en-v1.5||M8</v>
      </c>
      <c r="N83">
        <f>IF(COUNTIF($M$2:M83, M83)=1, 1, 0)</f>
        <v>1</v>
      </c>
      <c r="O83" t="str">
        <f t="shared" si="16"/>
        <v>137||['add']||alibaba-nlp/gte-base-en-v1.5||T4</v>
      </c>
      <c r="P83">
        <f>IF(COUNTIF($O$2:O83, O83)=1, 1, 0)</f>
        <v>1</v>
      </c>
      <c r="Q83" t="str">
        <f t="shared" si="11"/>
        <v>13||C8</v>
      </c>
      <c r="R83">
        <f>IF(COUNTIF($Q$2:Q83, Q83)=1, 1, 0)</f>
        <v>0</v>
      </c>
      <c r="S83" t="str">
        <f t="shared" si="12"/>
        <v>13||M8</v>
      </c>
      <c r="T83">
        <f>IF(COUNTIF($S$2:S83, S83)=1, 1, 0)</f>
        <v>0</v>
      </c>
      <c r="U83" t="str">
        <f t="shared" si="13"/>
        <v>13||T4</v>
      </c>
      <c r="V83">
        <f>IF(COUNTIF($U$2:U83, U83)=1, 1, 0)</f>
        <v>0</v>
      </c>
      <c r="W83" t="s">
        <v>116</v>
      </c>
      <c r="X83" t="s">
        <v>297</v>
      </c>
      <c r="Y83" t="str">
        <f>_xlfn.XLOOKUP(X83, codes!A:A, codes!F:F, "")</f>
        <v>M8</v>
      </c>
      <c r="Z83" t="str">
        <f>_xlfn.XLOOKUP(Y83, 'sub-themes'!A:A, 'sub-themes'!H:H, "")</f>
        <v>T4</v>
      </c>
    </row>
    <row r="84" spans="1:26" x14ac:dyDescent="0.2">
      <c r="A84">
        <v>13</v>
      </c>
      <c r="B84">
        <v>137</v>
      </c>
      <c r="C84" t="s">
        <v>19</v>
      </c>
      <c r="D84">
        <v>1</v>
      </c>
      <c r="E84">
        <v>1</v>
      </c>
      <c r="F84" t="s">
        <v>8</v>
      </c>
      <c r="G84" t="s">
        <v>32</v>
      </c>
      <c r="H84" t="str">
        <f t="shared" si="14"/>
        <v>alibaba-nlp/gte-base-en-v1.5</v>
      </c>
      <c r="I84" t="str">
        <f t="shared" si="9"/>
        <v>137||['add']||alibaba-nlp/gte-base-en-v1.5</v>
      </c>
      <c r="J84">
        <f>IF(COUNTIF($I$2:I84, I84)=1, 1, 0)</f>
        <v>0</v>
      </c>
      <c r="K84" t="str">
        <f t="shared" si="10"/>
        <v>137||['add']||alibaba-nlp/gte-base-en-v1.5||C9</v>
      </c>
      <c r="L84">
        <f>IF(COUNTIF($K$2:K84, K84)=1, 1, 0)</f>
        <v>1</v>
      </c>
      <c r="M84" t="str">
        <f t="shared" si="15"/>
        <v>137||['add']||alibaba-nlp/gte-base-en-v1.5||M8</v>
      </c>
      <c r="N84">
        <f>IF(COUNTIF($M$2:M84, M84)=1, 1, 0)</f>
        <v>0</v>
      </c>
      <c r="O84" t="str">
        <f t="shared" si="16"/>
        <v>137||['add']||alibaba-nlp/gte-base-en-v1.5||T4</v>
      </c>
      <c r="P84">
        <f>IF(COUNTIF($O$2:O84, O84)=1, 1, 0)</f>
        <v>0</v>
      </c>
      <c r="Q84" t="str">
        <f t="shared" si="11"/>
        <v>13||C9</v>
      </c>
      <c r="R84">
        <f>IF(COUNTIF($Q$2:Q84, Q84)=1, 1, 0)</f>
        <v>0</v>
      </c>
      <c r="S84" t="str">
        <f t="shared" si="12"/>
        <v>13||M8</v>
      </c>
      <c r="T84">
        <f>IF(COUNTIF($S$2:S84, S84)=1, 1, 0)</f>
        <v>0</v>
      </c>
      <c r="U84" t="str">
        <f t="shared" si="13"/>
        <v>13||T4</v>
      </c>
      <c r="V84">
        <f>IF(COUNTIF($U$2:U84, U84)=1, 1, 0)</f>
        <v>0</v>
      </c>
      <c r="W84" t="s">
        <v>117</v>
      </c>
      <c r="X84" t="s">
        <v>299</v>
      </c>
      <c r="Y84" t="str">
        <f>_xlfn.XLOOKUP(X84, codes!A:A, codes!F:F, "")</f>
        <v>M8</v>
      </c>
      <c r="Z84" t="str">
        <f>_xlfn.XLOOKUP(Y84, 'sub-themes'!A:A, 'sub-themes'!H:H, "")</f>
        <v>T4</v>
      </c>
    </row>
    <row r="85" spans="1:26" x14ac:dyDescent="0.2">
      <c r="A85">
        <v>81</v>
      </c>
      <c r="B85">
        <v>139</v>
      </c>
      <c r="C85" t="s">
        <v>7</v>
      </c>
      <c r="D85">
        <v>5</v>
      </c>
      <c r="E85">
        <v>3</v>
      </c>
      <c r="F85" t="s">
        <v>8</v>
      </c>
      <c r="G85" t="s">
        <v>118</v>
      </c>
      <c r="H85" t="str">
        <f t="shared" si="14"/>
        <v>sshleifer/distilbart-cnn-6-6|mrm8488/t5-small-finetuned-common_gen|averyrealhuman/dialogpt-small-tonystark</v>
      </c>
      <c r="I85" t="str">
        <f t="shared" si="9"/>
        <v>139||['add']||sshleifer/distilbart-cnn-6-6|mrm8488/t5-small-finetuned-common_gen|averyrealhuman/dialogpt-small-tonystark</v>
      </c>
      <c r="J85">
        <f>IF(COUNTIF($I$2:I85, I85)=1, 1, 0)</f>
        <v>1</v>
      </c>
      <c r="K85" t="str">
        <f t="shared" si="10"/>
        <v>139||['add']||sshleifer/distilbart-cnn-6-6|mrm8488/t5-small-finetuned-common_gen|averyrealhuman/dialogpt-small-tonystark||C59</v>
      </c>
      <c r="L85">
        <f>IF(COUNTIF($K$2:K85, K85)=1, 1, 0)</f>
        <v>1</v>
      </c>
      <c r="M85" t="str">
        <f t="shared" si="15"/>
        <v>139||['add']||sshleifer/distilbart-cnn-6-6|mrm8488/t5-small-finetuned-common_gen|averyrealhuman/dialogpt-small-tonystark||M22</v>
      </c>
      <c r="N85">
        <f>IF(COUNTIF($M$2:M85, M85)=1, 1, 0)</f>
        <v>1</v>
      </c>
      <c r="O85" t="str">
        <f t="shared" si="16"/>
        <v>139||['add']||sshleifer/distilbart-cnn-6-6|mrm8488/t5-small-finetuned-common_gen|averyrealhuman/dialogpt-small-tonystark||T5</v>
      </c>
      <c r="P85">
        <f>IF(COUNTIF($O$2:O85, O85)=1, 1, 0)</f>
        <v>1</v>
      </c>
      <c r="Q85" t="str">
        <f t="shared" si="11"/>
        <v>81||C59</v>
      </c>
      <c r="R85">
        <f>IF(COUNTIF($Q$2:Q85, Q85)=1, 1, 0)</f>
        <v>1</v>
      </c>
      <c r="S85" t="str">
        <f t="shared" si="12"/>
        <v>81||M22</v>
      </c>
      <c r="T85">
        <f>IF(COUNTIF($S$2:S85, S85)=1, 1, 0)</f>
        <v>1</v>
      </c>
      <c r="U85" t="str">
        <f t="shared" si="13"/>
        <v>81||T5</v>
      </c>
      <c r="V85">
        <f>IF(COUNTIF($U$2:U85, U85)=1, 1, 0)</f>
        <v>1</v>
      </c>
      <c r="W85" t="s">
        <v>119</v>
      </c>
      <c r="X85" t="s">
        <v>417</v>
      </c>
      <c r="Y85" t="str">
        <f>_xlfn.XLOOKUP(X85, codes!A:A, codes!F:F, "")</f>
        <v>M22</v>
      </c>
      <c r="Z85" t="str">
        <f>_xlfn.XLOOKUP(Y85, 'sub-themes'!A:A, 'sub-themes'!H:H, "")</f>
        <v>T5</v>
      </c>
    </row>
    <row r="86" spans="1:26" ht="48" x14ac:dyDescent="0.2">
      <c r="A86">
        <v>82</v>
      </c>
      <c r="B86">
        <v>143</v>
      </c>
      <c r="C86" t="s">
        <v>7</v>
      </c>
      <c r="D86">
        <v>5</v>
      </c>
      <c r="E86">
        <v>1</v>
      </c>
      <c r="F86" t="s">
        <v>29</v>
      </c>
      <c r="G86" t="s">
        <v>120</v>
      </c>
      <c r="H86" t="str">
        <f t="shared" si="14"/>
        <v>nm-testing/llama2.c-stories15m</v>
      </c>
      <c r="I86" t="str">
        <f t="shared" si="9"/>
        <v>143||['migrate']||nm-testing/llama2.c-stories15m</v>
      </c>
      <c r="J86">
        <f>IF(COUNTIF($I$2:I86, I86)=1, 1, 0)</f>
        <v>1</v>
      </c>
      <c r="K86" t="str">
        <f t="shared" si="10"/>
        <v>143||['migrate']||nm-testing/llama2.c-stories15m||C35</v>
      </c>
      <c r="L86">
        <f>IF(COUNTIF($K$2:K86, K86)=1, 1, 0)</f>
        <v>1</v>
      </c>
      <c r="M86" t="str">
        <f t="shared" si="15"/>
        <v>143||['migrate']||nm-testing/llama2.c-stories15m||M5</v>
      </c>
      <c r="N86">
        <f>IF(COUNTIF($M$2:M86, M86)=1, 1, 0)</f>
        <v>1</v>
      </c>
      <c r="O86" t="str">
        <f t="shared" si="16"/>
        <v>143||['migrate']||nm-testing/llama2.c-stories15m||T4</v>
      </c>
      <c r="P86">
        <f>IF(COUNTIF($O$2:O86, O86)=1, 1, 0)</f>
        <v>1</v>
      </c>
      <c r="Q86" t="str">
        <f t="shared" si="11"/>
        <v>82||C35</v>
      </c>
      <c r="R86">
        <f>IF(COUNTIF($Q$2:Q86, Q86)=1, 1, 0)</f>
        <v>1</v>
      </c>
      <c r="S86" t="str">
        <f t="shared" si="12"/>
        <v>82||M5</v>
      </c>
      <c r="T86">
        <f>IF(COUNTIF($S$2:S86, S86)=1, 1, 0)</f>
        <v>1</v>
      </c>
      <c r="U86" t="str">
        <f t="shared" si="13"/>
        <v>82||T4</v>
      </c>
      <c r="V86">
        <f>IF(COUNTIF($U$2:U86, U86)=1, 1, 0)</f>
        <v>1</v>
      </c>
      <c r="W86" s="2" t="s">
        <v>215</v>
      </c>
      <c r="X86" t="s">
        <v>342</v>
      </c>
      <c r="Y86" t="str">
        <f>_xlfn.XLOOKUP(X86, codes!A:A, codes!F:F, "")</f>
        <v>M5</v>
      </c>
      <c r="Z86" t="str">
        <f>_xlfn.XLOOKUP(Y86, 'sub-themes'!A:A, 'sub-themes'!H:H, "")</f>
        <v>T4</v>
      </c>
    </row>
    <row r="87" spans="1:26" ht="48" x14ac:dyDescent="0.2">
      <c r="A87">
        <v>83</v>
      </c>
      <c r="B87">
        <v>143</v>
      </c>
      <c r="C87" t="s">
        <v>19</v>
      </c>
      <c r="D87">
        <v>5</v>
      </c>
      <c r="E87">
        <v>1</v>
      </c>
      <c r="F87" t="s">
        <v>29</v>
      </c>
      <c r="G87" t="s">
        <v>120</v>
      </c>
      <c r="H87" t="str">
        <f t="shared" si="14"/>
        <v>nm-testing/llama2.c-stories15m</v>
      </c>
      <c r="I87" t="str">
        <f t="shared" si="9"/>
        <v>143||['migrate']||nm-testing/llama2.c-stories15m</v>
      </c>
      <c r="J87">
        <f>IF(COUNTIF($I$2:I87, I87)=1, 1, 0)</f>
        <v>0</v>
      </c>
      <c r="K87" t="str">
        <f t="shared" si="10"/>
        <v>143||['migrate']||nm-testing/llama2.c-stories15m||C35</v>
      </c>
      <c r="L87">
        <f>IF(COUNTIF($K$2:K87, K87)=1, 1, 0)</f>
        <v>0</v>
      </c>
      <c r="M87" t="str">
        <f t="shared" si="15"/>
        <v>143||['migrate']||nm-testing/llama2.c-stories15m||M5</v>
      </c>
      <c r="N87">
        <f>IF(COUNTIF($M$2:M87, M87)=1, 1, 0)</f>
        <v>0</v>
      </c>
      <c r="O87" t="str">
        <f t="shared" si="16"/>
        <v>143||['migrate']||nm-testing/llama2.c-stories15m||T4</v>
      </c>
      <c r="P87">
        <f>IF(COUNTIF($O$2:O87, O87)=1, 1, 0)</f>
        <v>0</v>
      </c>
      <c r="Q87" t="str">
        <f t="shared" si="11"/>
        <v>83||C35</v>
      </c>
      <c r="R87">
        <f>IF(COUNTIF($Q$2:Q87, Q87)=1, 1, 0)</f>
        <v>1</v>
      </c>
      <c r="S87" t="str">
        <f t="shared" si="12"/>
        <v>83||M5</v>
      </c>
      <c r="T87">
        <f>IF(COUNTIF($S$2:S87, S87)=1, 1, 0)</f>
        <v>1</v>
      </c>
      <c r="U87" t="str">
        <f t="shared" si="13"/>
        <v>83||T4</v>
      </c>
      <c r="V87">
        <f>IF(COUNTIF($U$2:U87, U87)=1, 1, 0)</f>
        <v>1</v>
      </c>
      <c r="W87" s="2" t="s">
        <v>215</v>
      </c>
      <c r="X87" t="s">
        <v>342</v>
      </c>
      <c r="Y87" t="str">
        <f>_xlfn.XLOOKUP(X87, codes!A:A, codes!F:F, "")</f>
        <v>M5</v>
      </c>
      <c r="Z87" t="str">
        <f>_xlfn.XLOOKUP(Y87, 'sub-themes'!A:A, 'sub-themes'!H:H, "")</f>
        <v>T4</v>
      </c>
    </row>
    <row r="88" spans="1:26" x14ac:dyDescent="0.2">
      <c r="A88">
        <v>84</v>
      </c>
      <c r="B88">
        <v>146</v>
      </c>
      <c r="C88" t="s">
        <v>28</v>
      </c>
      <c r="D88">
        <v>16</v>
      </c>
      <c r="E88">
        <v>4</v>
      </c>
      <c r="F88" t="s">
        <v>8</v>
      </c>
      <c r="G88" t="s">
        <v>121</v>
      </c>
      <c r="H88" t="str">
        <f t="shared" si="14"/>
        <v>stabilityai/stable-diffusion-2-1-base|stabilityai/stable-diffusion-2-base|stabilityai/stable-diffusion-2-depth|pixart-alpha/pixart-sigma-xl-2-512-ms</v>
      </c>
      <c r="I88" t="str">
        <f t="shared" si="9"/>
        <v>146||['add']||stabilityai/stable-diffusion-2-1-base|stabilityai/stable-diffusion-2-base|stabilityai/stable-diffusion-2-depth|pixart-alpha/pixart-sigma-xl-2-512-ms</v>
      </c>
      <c r="J88">
        <f>IF(COUNTIF($I$2:I88, I88)=1, 1, 0)</f>
        <v>1</v>
      </c>
      <c r="K88" t="str">
        <f t="shared" si="10"/>
        <v>146||['add']||stabilityai/stable-diffusion-2-1-base|stabilityai/stable-diffusion-2-base|stabilityai/stable-diffusion-2-depth|pixart-alpha/pixart-sigma-xl-2-512-ms||C31</v>
      </c>
      <c r="L88">
        <f>IF(COUNTIF($K$2:K88, K88)=1, 1, 0)</f>
        <v>1</v>
      </c>
      <c r="M88" t="str">
        <f t="shared" si="15"/>
        <v>146||['add']||stabilityai/stable-diffusion-2-1-base|stabilityai/stable-diffusion-2-base|stabilityai/stable-diffusion-2-depth|pixart-alpha/pixart-sigma-xl-2-512-ms||M4</v>
      </c>
      <c r="N88">
        <f>IF(COUNTIF($M$2:M88, M88)=1, 1, 0)</f>
        <v>1</v>
      </c>
      <c r="O88" t="str">
        <f t="shared" si="16"/>
        <v>146||['add']||stabilityai/stable-diffusion-2-1-base|stabilityai/stable-diffusion-2-base|stabilityai/stable-diffusion-2-depth|pixart-alpha/pixart-sigma-xl-2-512-ms||T1</v>
      </c>
      <c r="P88">
        <f>IF(COUNTIF($O$2:O88, O88)=1, 1, 0)</f>
        <v>1</v>
      </c>
      <c r="Q88" t="str">
        <f t="shared" si="11"/>
        <v>84||C31</v>
      </c>
      <c r="R88">
        <f>IF(COUNTIF($Q$2:Q88, Q88)=1, 1, 0)</f>
        <v>1</v>
      </c>
      <c r="S88" t="str">
        <f t="shared" si="12"/>
        <v>84||M4</v>
      </c>
      <c r="T88">
        <f>IF(COUNTIF($S$2:S88, S88)=1, 1, 0)</f>
        <v>1</v>
      </c>
      <c r="U88" t="str">
        <f t="shared" si="13"/>
        <v>84||T1</v>
      </c>
      <c r="V88">
        <f>IF(COUNTIF($U$2:U88, U88)=1, 1, 0)</f>
        <v>1</v>
      </c>
      <c r="W88" t="s">
        <v>122</v>
      </c>
      <c r="X88" t="s">
        <v>335</v>
      </c>
      <c r="Y88" t="str">
        <f>_xlfn.XLOOKUP(X88, codes!A:A, codes!F:F, "")</f>
        <v>M4</v>
      </c>
      <c r="Z88" t="str">
        <f>_xlfn.XLOOKUP(Y88, 'sub-themes'!A:A, 'sub-themes'!H:H, "")</f>
        <v>T1</v>
      </c>
    </row>
    <row r="89" spans="1:26" x14ac:dyDescent="0.2">
      <c r="A89">
        <v>84</v>
      </c>
      <c r="B89">
        <v>148</v>
      </c>
      <c r="C89" t="s">
        <v>28</v>
      </c>
      <c r="D89">
        <v>3</v>
      </c>
      <c r="E89">
        <v>2</v>
      </c>
      <c r="F89" t="s">
        <v>8</v>
      </c>
      <c r="G89" t="s">
        <v>123</v>
      </c>
      <c r="H89" t="str">
        <f>SUBSTITUTE(SUBSTITUTE(SUBSTITUTE(SUBSTITUTE(G89,"[",""),"]",""),"'",""),", ","|")</f>
        <v>intel/dpt-hybrid-midas|openmmlab/upernet-convnext-small</v>
      </c>
      <c r="I89" t="str">
        <f t="shared" si="9"/>
        <v>148||['add']||intel/dpt-hybrid-midas|openmmlab/upernet-convnext-small</v>
      </c>
      <c r="J89">
        <f>IF(COUNTIF($I$2:I89, I89)=1, 1, 0)</f>
        <v>1</v>
      </c>
      <c r="K89" t="str">
        <f t="shared" si="10"/>
        <v>148||['add']||intel/dpt-hybrid-midas|openmmlab/upernet-convnext-small||C31</v>
      </c>
      <c r="L89">
        <f>IF(COUNTIF($K$2:K89, K89)=1, 1, 0)</f>
        <v>1</v>
      </c>
      <c r="M89" t="str">
        <f t="shared" si="15"/>
        <v>148||['add']||intel/dpt-hybrid-midas|openmmlab/upernet-convnext-small||M4</v>
      </c>
      <c r="N89">
        <f>IF(COUNTIF($M$2:M89, M89)=1, 1, 0)</f>
        <v>1</v>
      </c>
      <c r="O89" t="str">
        <f t="shared" si="16"/>
        <v>148||['add']||intel/dpt-hybrid-midas|openmmlab/upernet-convnext-small||T1</v>
      </c>
      <c r="P89">
        <f>IF(COUNTIF($O$2:O89, O89)=1, 1, 0)</f>
        <v>1</v>
      </c>
      <c r="Q89" t="str">
        <f t="shared" si="11"/>
        <v>84||C31</v>
      </c>
      <c r="R89">
        <f>IF(COUNTIF($Q$2:Q89, Q89)=1, 1, 0)</f>
        <v>0</v>
      </c>
      <c r="S89" t="str">
        <f t="shared" si="12"/>
        <v>84||M4</v>
      </c>
      <c r="T89">
        <f>IF(COUNTIF($S$2:S89, S89)=1, 1, 0)</f>
        <v>0</v>
      </c>
      <c r="U89" t="str">
        <f t="shared" si="13"/>
        <v>84||T1</v>
      </c>
      <c r="V89">
        <f>IF(COUNTIF($U$2:U89, U89)=1, 1, 0)</f>
        <v>0</v>
      </c>
      <c r="W89" t="s">
        <v>503</v>
      </c>
      <c r="X89" t="s">
        <v>335</v>
      </c>
      <c r="Y89" t="str">
        <f>_xlfn.XLOOKUP(X89, codes!A:A, codes!F:F, "")</f>
        <v>M4</v>
      </c>
      <c r="Z89" t="str">
        <f>_xlfn.XLOOKUP(Y89, 'sub-themes'!A:A, 'sub-themes'!H:H, "")</f>
        <v>T1</v>
      </c>
    </row>
    <row r="90" spans="1:26" x14ac:dyDescent="0.2">
      <c r="A90">
        <v>84</v>
      </c>
      <c r="B90">
        <v>149</v>
      </c>
      <c r="C90" t="s">
        <v>28</v>
      </c>
      <c r="D90">
        <v>1</v>
      </c>
      <c r="E90">
        <v>1</v>
      </c>
      <c r="F90" t="s">
        <v>8</v>
      </c>
      <c r="G90" t="s">
        <v>124</v>
      </c>
      <c r="H90" t="str">
        <f t="shared" si="14"/>
        <v>stabilityai/stable-cascade-prior</v>
      </c>
      <c r="I90" t="str">
        <f t="shared" si="9"/>
        <v>149||['add']||stabilityai/stable-cascade-prior</v>
      </c>
      <c r="J90">
        <f>IF(COUNTIF($I$2:I90, I90)=1, 1, 0)</f>
        <v>1</v>
      </c>
      <c r="K90" t="str">
        <f t="shared" si="10"/>
        <v>149||['add']||stabilityai/stable-cascade-prior||C31</v>
      </c>
      <c r="L90">
        <f>IF(COUNTIF($K$2:K90, K90)=1, 1, 0)</f>
        <v>1</v>
      </c>
      <c r="M90" t="str">
        <f t="shared" si="15"/>
        <v>149||['add']||stabilityai/stable-cascade-prior||M4</v>
      </c>
      <c r="N90">
        <f>IF(COUNTIF($M$2:M90, M90)=1, 1, 0)</f>
        <v>1</v>
      </c>
      <c r="O90" t="str">
        <f t="shared" si="16"/>
        <v>149||['add']||stabilityai/stable-cascade-prior||T1</v>
      </c>
      <c r="P90">
        <f>IF(COUNTIF($O$2:O90, O90)=1, 1, 0)</f>
        <v>1</v>
      </c>
      <c r="Q90" t="str">
        <f t="shared" si="11"/>
        <v>84||C31</v>
      </c>
      <c r="R90">
        <f>IF(COUNTIF($Q$2:Q90, Q90)=1, 1, 0)</f>
        <v>0</v>
      </c>
      <c r="S90" t="str">
        <f t="shared" si="12"/>
        <v>84||M4</v>
      </c>
      <c r="T90">
        <f>IF(COUNTIF($S$2:S90, S90)=1, 1, 0)</f>
        <v>0</v>
      </c>
      <c r="U90" t="str">
        <f t="shared" si="13"/>
        <v>84||T1</v>
      </c>
      <c r="V90">
        <f>IF(COUNTIF($U$2:U90, U90)=1, 1, 0)</f>
        <v>0</v>
      </c>
      <c r="W90" t="s">
        <v>125</v>
      </c>
      <c r="X90" t="s">
        <v>335</v>
      </c>
      <c r="Y90" t="str">
        <f>_xlfn.XLOOKUP(X90, codes!A:A, codes!F:F, "")</f>
        <v>M4</v>
      </c>
      <c r="Z90" t="str">
        <f>_xlfn.XLOOKUP(Y90, 'sub-themes'!A:A, 'sub-themes'!H:H, "")</f>
        <v>T1</v>
      </c>
    </row>
    <row r="91" spans="1:26" ht="32" x14ac:dyDescent="0.2">
      <c r="A91">
        <v>85</v>
      </c>
      <c r="B91">
        <v>150</v>
      </c>
      <c r="C91" t="s">
        <v>28</v>
      </c>
      <c r="D91">
        <v>2</v>
      </c>
      <c r="E91">
        <v>1</v>
      </c>
      <c r="F91" t="s">
        <v>8</v>
      </c>
      <c r="G91" t="s">
        <v>126</v>
      </c>
      <c r="H91" t="str">
        <f t="shared" si="14"/>
        <v>google/bert_uncased_l-2_h-128_a-2</v>
      </c>
      <c r="I91" t="str">
        <f t="shared" si="9"/>
        <v>150||['add']||google/bert_uncased_l-2_h-128_a-2</v>
      </c>
      <c r="J91">
        <f>IF(COUNTIF($I$2:I91, I91)=1, 1, 0)</f>
        <v>1</v>
      </c>
      <c r="K91" t="str">
        <f t="shared" si="10"/>
        <v>150||['add']||google/bert_uncased_l-2_h-128_a-2||C62</v>
      </c>
      <c r="L91">
        <f>IF(COUNTIF($K$2:K91, K91)=1, 1, 0)</f>
        <v>1</v>
      </c>
      <c r="M91" t="str">
        <f t="shared" si="15"/>
        <v>150||['add']||google/bert_uncased_l-2_h-128_a-2||M11</v>
      </c>
      <c r="N91">
        <f>IF(COUNTIF($M$2:M91, M91)=1, 1, 0)</f>
        <v>1</v>
      </c>
      <c r="O91" t="str">
        <f t="shared" si="16"/>
        <v>150||['add']||google/bert_uncased_l-2_h-128_a-2||T3</v>
      </c>
      <c r="P91">
        <f>IF(COUNTIF($O$2:O91, O91)=1, 1, 0)</f>
        <v>1</v>
      </c>
      <c r="Q91" t="str">
        <f t="shared" si="11"/>
        <v>85||C62</v>
      </c>
      <c r="R91">
        <f>IF(COUNTIF($Q$2:Q91, Q91)=1, 1, 0)</f>
        <v>1</v>
      </c>
      <c r="S91" t="str">
        <f t="shared" si="12"/>
        <v>85||M11</v>
      </c>
      <c r="T91">
        <f>IF(COUNTIF($S$2:S91, S91)=1, 1, 0)</f>
        <v>1</v>
      </c>
      <c r="U91" t="str">
        <f t="shared" si="13"/>
        <v>85||T3</v>
      </c>
      <c r="V91">
        <f>IF(COUNTIF($U$2:U91, U91)=1, 1, 0)</f>
        <v>1</v>
      </c>
      <c r="W91" s="2" t="s">
        <v>509</v>
      </c>
      <c r="X91" t="s">
        <v>425</v>
      </c>
      <c r="Y91" t="str">
        <f>_xlfn.XLOOKUP(X91, codes!A:A, codes!F:F, "")</f>
        <v>M11</v>
      </c>
      <c r="Z91" t="str">
        <f>_xlfn.XLOOKUP(Y91, 'sub-themes'!A:A, 'sub-themes'!H:H, "")</f>
        <v>T3</v>
      </c>
    </row>
    <row r="92" spans="1:26" x14ac:dyDescent="0.2">
      <c r="A92">
        <v>86</v>
      </c>
      <c r="B92">
        <v>151</v>
      </c>
      <c r="C92" t="s">
        <v>47</v>
      </c>
      <c r="D92">
        <v>4</v>
      </c>
      <c r="E92">
        <v>1</v>
      </c>
      <c r="F92" t="s">
        <v>8</v>
      </c>
      <c r="G92" t="s">
        <v>127</v>
      </c>
      <c r="H92" t="str">
        <f t="shared" si="14"/>
        <v>openai/clip-vit-base-patch32</v>
      </c>
      <c r="I92" t="str">
        <f t="shared" si="9"/>
        <v>151||['add']||openai/clip-vit-base-patch32</v>
      </c>
      <c r="J92">
        <f>IF(COUNTIF($I$2:I92, I92)=1, 1, 0)</f>
        <v>1</v>
      </c>
      <c r="K92" t="str">
        <f t="shared" si="10"/>
        <v>151||['add']||openai/clip-vit-base-patch32||C52</v>
      </c>
      <c r="L92">
        <f>IF(COUNTIF($K$2:K92, K92)=1, 1, 0)</f>
        <v>1</v>
      </c>
      <c r="M92" t="str">
        <f t="shared" si="15"/>
        <v>151||['add']||openai/clip-vit-base-patch32||M10</v>
      </c>
      <c r="N92">
        <f>IF(COUNTIF($M$2:M92, M92)=1, 1, 0)</f>
        <v>1</v>
      </c>
      <c r="O92" t="str">
        <f t="shared" si="16"/>
        <v>151||['add']||openai/clip-vit-base-patch32||T3</v>
      </c>
      <c r="P92">
        <f>IF(COUNTIF($O$2:O92, O92)=1, 1, 0)</f>
        <v>1</v>
      </c>
      <c r="Q92" t="str">
        <f t="shared" si="11"/>
        <v>86||C52</v>
      </c>
      <c r="R92">
        <f>IF(COUNTIF($Q$2:Q92, Q92)=1, 1, 0)</f>
        <v>1</v>
      </c>
      <c r="S92" t="str">
        <f t="shared" si="12"/>
        <v>86||M10</v>
      </c>
      <c r="T92">
        <f>IF(COUNTIF($S$2:S92, S92)=1, 1, 0)</f>
        <v>1</v>
      </c>
      <c r="U92" t="str">
        <f t="shared" si="13"/>
        <v>86||T3</v>
      </c>
      <c r="V92">
        <f>IF(COUNTIF($U$2:U92, U92)=1, 1, 0)</f>
        <v>1</v>
      </c>
      <c r="W92" t="s">
        <v>128</v>
      </c>
      <c r="X92" t="s">
        <v>402</v>
      </c>
      <c r="Y92" t="str">
        <f>_xlfn.XLOOKUP(X92, codes!A:A, codes!F:F, "")</f>
        <v>M10</v>
      </c>
      <c r="Z92" t="str">
        <f>_xlfn.XLOOKUP(Y92, 'sub-themes'!A:A, 'sub-themes'!H:H, "")</f>
        <v>T3</v>
      </c>
    </row>
    <row r="93" spans="1:26" x14ac:dyDescent="0.2">
      <c r="A93">
        <v>87</v>
      </c>
      <c r="B93">
        <v>152</v>
      </c>
      <c r="C93" t="s">
        <v>15</v>
      </c>
      <c r="D93">
        <v>2</v>
      </c>
      <c r="E93">
        <v>1</v>
      </c>
      <c r="F93" t="s">
        <v>29</v>
      </c>
      <c r="G93" t="s">
        <v>129</v>
      </c>
      <c r="H93" t="str">
        <f t="shared" si="14"/>
        <v>yujiepan/whisper-v3-tiny-random</v>
      </c>
      <c r="I93" t="str">
        <f t="shared" si="9"/>
        <v>152||['migrate']||yujiepan/whisper-v3-tiny-random</v>
      </c>
      <c r="J93">
        <f>IF(COUNTIF($I$2:I93, I93)=1, 1, 0)</f>
        <v>1</v>
      </c>
      <c r="K93" t="str">
        <f t="shared" si="10"/>
        <v>152||['migrate']||yujiepan/whisper-v3-tiny-random||C59</v>
      </c>
      <c r="L93">
        <f>IF(COUNTIF($K$2:K93, K93)=1, 1, 0)</f>
        <v>1</v>
      </c>
      <c r="M93" t="str">
        <f t="shared" si="15"/>
        <v>152||['migrate']||yujiepan/whisper-v3-tiny-random||M22</v>
      </c>
      <c r="N93">
        <f>IF(COUNTIF($M$2:M93, M93)=1, 1, 0)</f>
        <v>1</v>
      </c>
      <c r="O93" t="str">
        <f t="shared" si="16"/>
        <v>152||['migrate']||yujiepan/whisper-v3-tiny-random||T5</v>
      </c>
      <c r="P93">
        <f>IF(COUNTIF($O$2:O93, O93)=1, 1, 0)</f>
        <v>1</v>
      </c>
      <c r="Q93" t="str">
        <f t="shared" si="11"/>
        <v>87||C59</v>
      </c>
      <c r="R93">
        <f>IF(COUNTIF($Q$2:Q93, Q93)=1, 1, 0)</f>
        <v>1</v>
      </c>
      <c r="S93" t="str">
        <f t="shared" si="12"/>
        <v>87||M22</v>
      </c>
      <c r="T93">
        <f>IF(COUNTIF($S$2:S93, S93)=1, 1, 0)</f>
        <v>1</v>
      </c>
      <c r="U93" t="str">
        <f t="shared" si="13"/>
        <v>87||T5</v>
      </c>
      <c r="V93">
        <f>IF(COUNTIF($U$2:U93, U93)=1, 1, 0)</f>
        <v>1</v>
      </c>
      <c r="W93" t="s">
        <v>130</v>
      </c>
      <c r="X93" t="s">
        <v>417</v>
      </c>
      <c r="Y93" t="str">
        <f>_xlfn.XLOOKUP(X93, codes!A:A, codes!F:F, "")</f>
        <v>M22</v>
      </c>
      <c r="Z93" t="str">
        <f>_xlfn.XLOOKUP(Y93, 'sub-themes'!A:A, 'sub-themes'!H:H, "")</f>
        <v>T5</v>
      </c>
    </row>
    <row r="94" spans="1:26" x14ac:dyDescent="0.2">
      <c r="A94">
        <v>88</v>
      </c>
      <c r="B94">
        <v>152</v>
      </c>
      <c r="C94" t="s">
        <v>7</v>
      </c>
      <c r="D94">
        <v>2</v>
      </c>
      <c r="E94">
        <v>1</v>
      </c>
      <c r="F94" t="s">
        <v>29</v>
      </c>
      <c r="G94" t="s">
        <v>129</v>
      </c>
      <c r="H94" t="str">
        <f t="shared" si="14"/>
        <v>yujiepan/whisper-v3-tiny-random</v>
      </c>
      <c r="I94" t="str">
        <f t="shared" si="9"/>
        <v>152||['migrate']||yujiepan/whisper-v3-tiny-random</v>
      </c>
      <c r="J94">
        <f>IF(COUNTIF($I$2:I94, I94)=1, 1, 0)</f>
        <v>0</v>
      </c>
      <c r="K94" t="str">
        <f t="shared" si="10"/>
        <v>152||['migrate']||yujiepan/whisper-v3-tiny-random||C59</v>
      </c>
      <c r="L94">
        <f>IF(COUNTIF($K$2:K94, K94)=1, 1, 0)</f>
        <v>0</v>
      </c>
      <c r="M94" t="str">
        <f t="shared" si="15"/>
        <v>152||['migrate']||yujiepan/whisper-v3-tiny-random||M22</v>
      </c>
      <c r="N94">
        <f>IF(COUNTIF($M$2:M94, M94)=1, 1, 0)</f>
        <v>0</v>
      </c>
      <c r="O94" t="str">
        <f t="shared" si="16"/>
        <v>152||['migrate']||yujiepan/whisper-v3-tiny-random||T5</v>
      </c>
      <c r="P94">
        <f>IF(COUNTIF($O$2:O94, O94)=1, 1, 0)</f>
        <v>0</v>
      </c>
      <c r="Q94" t="str">
        <f t="shared" si="11"/>
        <v>88||C59</v>
      </c>
      <c r="R94">
        <f>IF(COUNTIF($Q$2:Q94, Q94)=1, 1, 0)</f>
        <v>1</v>
      </c>
      <c r="S94" t="str">
        <f t="shared" si="12"/>
        <v>88||M22</v>
      </c>
      <c r="T94">
        <f>IF(COUNTIF($S$2:S94, S94)=1, 1, 0)</f>
        <v>1</v>
      </c>
      <c r="U94" t="str">
        <f t="shared" si="13"/>
        <v>88||T5</v>
      </c>
      <c r="V94">
        <f>IF(COUNTIF($U$2:U94, U94)=1, 1, 0)</f>
        <v>1</v>
      </c>
      <c r="W94" t="s">
        <v>131</v>
      </c>
      <c r="X94" t="s">
        <v>417</v>
      </c>
      <c r="Y94" t="str">
        <f>_xlfn.XLOOKUP(X94, codes!A:A, codes!F:F, "")</f>
        <v>M22</v>
      </c>
      <c r="Z94" t="str">
        <f>_xlfn.XLOOKUP(Y94, 'sub-themes'!A:A, 'sub-themes'!H:H, "")</f>
        <v>T5</v>
      </c>
    </row>
    <row r="95" spans="1:26" x14ac:dyDescent="0.2">
      <c r="A95">
        <v>89</v>
      </c>
      <c r="B95">
        <v>154</v>
      </c>
      <c r="C95" t="s">
        <v>7</v>
      </c>
      <c r="D95">
        <v>5</v>
      </c>
      <c r="E95">
        <v>3</v>
      </c>
      <c r="F95" t="s">
        <v>8</v>
      </c>
      <c r="G95" t="s">
        <v>132</v>
      </c>
      <c r="H95" t="str">
        <f t="shared" si="14"/>
        <v>google-bert/bert-base-uncased|google-bert/bert-base-cased|castorini/doc2query-t5-base-msmarco</v>
      </c>
      <c r="I95" t="str">
        <f t="shared" si="9"/>
        <v>154||['add']||google-bert/bert-base-uncased|google-bert/bert-base-cased|castorini/doc2query-t5-base-msmarco</v>
      </c>
      <c r="J95">
        <f>IF(COUNTIF($I$2:I95, I95)=1, 1, 0)</f>
        <v>1</v>
      </c>
      <c r="K95" t="str">
        <f t="shared" si="10"/>
        <v>154||['add']||google-bert/bert-base-uncased|google-bert/bert-base-cased|castorini/doc2query-t5-base-msmarco||C5</v>
      </c>
      <c r="L95">
        <f>IF(COUNTIF($K$2:K95, K95)=1, 1, 0)</f>
        <v>1</v>
      </c>
      <c r="M95" t="str">
        <f t="shared" si="15"/>
        <v>154||['add']||google-bert/bert-base-uncased|google-bert/bert-base-cased|castorini/doc2query-t5-base-msmarco||M17</v>
      </c>
      <c r="N95">
        <f>IF(COUNTIF($M$2:M95, M95)=1, 1, 0)</f>
        <v>1</v>
      </c>
      <c r="O95" t="str">
        <f t="shared" si="16"/>
        <v>154||['add']||google-bert/bert-base-uncased|google-bert/bert-base-cased|castorini/doc2query-t5-base-msmarco||T3</v>
      </c>
      <c r="P95">
        <f>IF(COUNTIF($O$2:O95, O95)=1, 1, 0)</f>
        <v>1</v>
      </c>
      <c r="Q95" t="str">
        <f t="shared" si="11"/>
        <v>89||C5</v>
      </c>
      <c r="R95">
        <f>IF(COUNTIF($Q$2:Q95, Q95)=1, 1, 0)</f>
        <v>1</v>
      </c>
      <c r="S95" t="str">
        <f t="shared" si="12"/>
        <v>89||M17</v>
      </c>
      <c r="T95">
        <f>IF(COUNTIF($S$2:S95, S95)=1, 1, 0)</f>
        <v>1</v>
      </c>
      <c r="U95" t="str">
        <f t="shared" si="13"/>
        <v>89||T3</v>
      </c>
      <c r="V95">
        <f>IF(COUNTIF($U$2:U95, U95)=1, 1, 0)</f>
        <v>1</v>
      </c>
      <c r="W95" t="s">
        <v>133</v>
      </c>
      <c r="X95" t="s">
        <v>291</v>
      </c>
      <c r="Y95" t="str">
        <f>_xlfn.XLOOKUP(X95, codes!A:A, codes!F:F, "")</f>
        <v>M17</v>
      </c>
      <c r="Z95" t="str">
        <f>_xlfn.XLOOKUP(Y95, 'sub-themes'!A:A, 'sub-themes'!H:H, "")</f>
        <v>T3</v>
      </c>
    </row>
    <row r="96" spans="1:26" x14ac:dyDescent="0.2">
      <c r="A96">
        <v>90</v>
      </c>
      <c r="B96">
        <v>154</v>
      </c>
      <c r="C96" t="s">
        <v>19</v>
      </c>
      <c r="D96">
        <v>5</v>
      </c>
      <c r="E96">
        <v>3</v>
      </c>
      <c r="F96" t="s">
        <v>8</v>
      </c>
      <c r="G96" t="s">
        <v>132</v>
      </c>
      <c r="H96" t="str">
        <f t="shared" si="14"/>
        <v>google-bert/bert-base-uncased|google-bert/bert-base-cased|castorini/doc2query-t5-base-msmarco</v>
      </c>
      <c r="I96" t="str">
        <f t="shared" si="9"/>
        <v>154||['add']||google-bert/bert-base-uncased|google-bert/bert-base-cased|castorini/doc2query-t5-base-msmarco</v>
      </c>
      <c r="J96">
        <f>IF(COUNTIF($I$2:I96, I96)=1, 1, 0)</f>
        <v>0</v>
      </c>
      <c r="K96" t="str">
        <f t="shared" si="10"/>
        <v>154||['add']||google-bert/bert-base-uncased|google-bert/bert-base-cased|castorini/doc2query-t5-base-msmarco||C5</v>
      </c>
      <c r="L96">
        <f>IF(COUNTIF($K$2:K96, K96)=1, 1, 0)</f>
        <v>0</v>
      </c>
      <c r="M96" t="str">
        <f t="shared" si="15"/>
        <v>154||['add']||google-bert/bert-base-uncased|google-bert/bert-base-cased|castorini/doc2query-t5-base-msmarco||M17</v>
      </c>
      <c r="N96">
        <f>IF(COUNTIF($M$2:M96, M96)=1, 1, 0)</f>
        <v>0</v>
      </c>
      <c r="O96" t="str">
        <f t="shared" si="16"/>
        <v>154||['add']||google-bert/bert-base-uncased|google-bert/bert-base-cased|castorini/doc2query-t5-base-msmarco||T3</v>
      </c>
      <c r="P96">
        <f>IF(COUNTIF($O$2:O96, O96)=1, 1, 0)</f>
        <v>0</v>
      </c>
      <c r="Q96" t="str">
        <f t="shared" si="11"/>
        <v>90||C5</v>
      </c>
      <c r="R96">
        <f>IF(COUNTIF($Q$2:Q96, Q96)=1, 1, 0)</f>
        <v>1</v>
      </c>
      <c r="S96" t="str">
        <f t="shared" si="12"/>
        <v>90||M17</v>
      </c>
      <c r="T96">
        <f>IF(COUNTIF($S$2:S96, S96)=1, 1, 0)</f>
        <v>1</v>
      </c>
      <c r="U96" t="str">
        <f t="shared" si="13"/>
        <v>90||T3</v>
      </c>
      <c r="V96">
        <f>IF(COUNTIF($U$2:U96, U96)=1, 1, 0)</f>
        <v>1</v>
      </c>
      <c r="W96" t="s">
        <v>133</v>
      </c>
      <c r="X96" t="s">
        <v>291</v>
      </c>
      <c r="Y96" t="str">
        <f>_xlfn.XLOOKUP(X96, codes!A:A, codes!F:F, "")</f>
        <v>M17</v>
      </c>
      <c r="Z96" t="str">
        <f>_xlfn.XLOOKUP(Y96, 'sub-themes'!A:A, 'sub-themes'!H:H, "")</f>
        <v>T3</v>
      </c>
    </row>
    <row r="97" spans="1:26" x14ac:dyDescent="0.2">
      <c r="A97">
        <v>91</v>
      </c>
      <c r="B97">
        <v>155</v>
      </c>
      <c r="C97" t="s">
        <v>7</v>
      </c>
      <c r="D97">
        <v>1</v>
      </c>
      <c r="E97">
        <v>1</v>
      </c>
      <c r="F97" t="s">
        <v>8</v>
      </c>
      <c r="G97" t="s">
        <v>22</v>
      </c>
      <c r="H97" t="str">
        <f t="shared" si="14"/>
        <v>google-bert/bert-base-uncased</v>
      </c>
      <c r="I97" t="str">
        <f t="shared" ref="I97:I119" si="17">B97 &amp; "||" &amp; F97 &amp; "||" &amp; H97</f>
        <v>155||['add']||google-bert/bert-base-uncased</v>
      </c>
      <c r="J97">
        <f>IF(COUNTIF($I$2:I97, I97)=1, 1, 0)</f>
        <v>1</v>
      </c>
      <c r="K97" t="str">
        <f t="shared" si="10"/>
        <v>155||['add']||google-bert/bert-base-uncased||C55</v>
      </c>
      <c r="L97">
        <f>IF(COUNTIF($K$2:K97, K97)=1, 1, 0)</f>
        <v>1</v>
      </c>
      <c r="M97" t="str">
        <f t="shared" si="15"/>
        <v>155||['add']||google-bert/bert-base-uncased||M21</v>
      </c>
      <c r="N97">
        <f>IF(COUNTIF($M$2:M97, M97)=1, 1, 0)</f>
        <v>1</v>
      </c>
      <c r="O97" t="str">
        <f t="shared" si="16"/>
        <v>155||['add']||google-bert/bert-base-uncased||T2</v>
      </c>
      <c r="P97">
        <f>IF(COUNTIF($O$2:O97, O97)=1, 1, 0)</f>
        <v>1</v>
      </c>
      <c r="Q97" t="str">
        <f t="shared" si="11"/>
        <v>91||C55</v>
      </c>
      <c r="R97">
        <f>IF(COUNTIF($Q$2:Q97, Q97)=1, 1, 0)</f>
        <v>1</v>
      </c>
      <c r="S97" t="str">
        <f t="shared" si="12"/>
        <v>91||M21</v>
      </c>
      <c r="T97">
        <f>IF(COUNTIF($S$2:S97, S97)=1, 1, 0)</f>
        <v>1</v>
      </c>
      <c r="U97" t="str">
        <f t="shared" si="13"/>
        <v>91||T2</v>
      </c>
      <c r="V97">
        <f>IF(COUNTIF($U$2:U97, U97)=1, 1, 0)</f>
        <v>1</v>
      </c>
      <c r="W97" t="s">
        <v>134</v>
      </c>
      <c r="X97" t="s">
        <v>408</v>
      </c>
      <c r="Y97" t="str">
        <f>_xlfn.XLOOKUP(X97, codes!A:A, codes!F:F, "")</f>
        <v>M21</v>
      </c>
      <c r="Z97" t="str">
        <f>_xlfn.XLOOKUP(Y97, 'sub-themes'!A:A, 'sub-themes'!H:H, "")</f>
        <v>T2</v>
      </c>
    </row>
    <row r="98" spans="1:26" x14ac:dyDescent="0.2">
      <c r="A98">
        <v>92</v>
      </c>
      <c r="B98">
        <v>155</v>
      </c>
      <c r="C98" t="s">
        <v>19</v>
      </c>
      <c r="D98">
        <v>1</v>
      </c>
      <c r="E98">
        <v>1</v>
      </c>
      <c r="F98" t="s">
        <v>8</v>
      </c>
      <c r="G98" t="s">
        <v>22</v>
      </c>
      <c r="H98" t="str">
        <f t="shared" si="14"/>
        <v>google-bert/bert-base-uncased</v>
      </c>
      <c r="I98" t="str">
        <f t="shared" si="17"/>
        <v>155||['add']||google-bert/bert-base-uncased</v>
      </c>
      <c r="J98">
        <f>IF(COUNTIF($I$2:I98, I98)=1, 1, 0)</f>
        <v>0</v>
      </c>
      <c r="K98" t="str">
        <f t="shared" si="10"/>
        <v>155||['add']||google-bert/bert-base-uncased||C55</v>
      </c>
      <c r="L98">
        <f>IF(COUNTIF($K$2:K98, K98)=1, 1, 0)</f>
        <v>0</v>
      </c>
      <c r="M98" t="str">
        <f t="shared" si="15"/>
        <v>155||['add']||google-bert/bert-base-uncased||M21</v>
      </c>
      <c r="N98">
        <f>IF(COUNTIF($M$2:M98, M98)=1, 1, 0)</f>
        <v>0</v>
      </c>
      <c r="O98" t="str">
        <f t="shared" si="16"/>
        <v>155||['add']||google-bert/bert-base-uncased||T2</v>
      </c>
      <c r="P98">
        <f>IF(COUNTIF($O$2:O98, O98)=1, 1, 0)</f>
        <v>0</v>
      </c>
      <c r="Q98" t="str">
        <f t="shared" si="11"/>
        <v>92||C55</v>
      </c>
      <c r="R98">
        <f>IF(COUNTIF($Q$2:Q98, Q98)=1, 1, 0)</f>
        <v>1</v>
      </c>
      <c r="S98" t="str">
        <f t="shared" si="12"/>
        <v>92||M21</v>
      </c>
      <c r="T98">
        <f>IF(COUNTIF($S$2:S98, S98)=1, 1, 0)</f>
        <v>1</v>
      </c>
      <c r="U98" t="str">
        <f t="shared" si="13"/>
        <v>92||T2</v>
      </c>
      <c r="V98">
        <f>IF(COUNTIF($U$2:U98, U98)=1, 1, 0)</f>
        <v>1</v>
      </c>
      <c r="W98" t="s">
        <v>135</v>
      </c>
      <c r="X98" t="s">
        <v>408</v>
      </c>
      <c r="Y98" t="str">
        <f>_xlfn.XLOOKUP(X98, codes!A:A, codes!F:F, "")</f>
        <v>M21</v>
      </c>
      <c r="Z98" t="str">
        <f>_xlfn.XLOOKUP(Y98, 'sub-themes'!A:A, 'sub-themes'!H:H, "")</f>
        <v>T2</v>
      </c>
    </row>
    <row r="99" spans="1:26" x14ac:dyDescent="0.2">
      <c r="A99">
        <v>93</v>
      </c>
      <c r="B99">
        <v>156</v>
      </c>
      <c r="C99" t="s">
        <v>7</v>
      </c>
      <c r="D99">
        <v>24</v>
      </c>
      <c r="E99">
        <v>3</v>
      </c>
      <c r="F99" t="s">
        <v>8</v>
      </c>
      <c r="G99" t="s">
        <v>136</v>
      </c>
      <c r="H99" t="str">
        <f t="shared" si="14"/>
        <v>facebookai/xlm-roberta-base|google-bert/bert-base-multilingual-cased|google-bert/bert-base-multilingual-uncased</v>
      </c>
      <c r="I99" t="str">
        <f t="shared" si="17"/>
        <v>156||['add']||facebookai/xlm-roberta-base|google-bert/bert-base-multilingual-cased|google-bert/bert-base-multilingual-uncased</v>
      </c>
      <c r="J99">
        <f>IF(COUNTIF($I$2:I99, I99)=1, 1, 0)</f>
        <v>1</v>
      </c>
      <c r="K99" t="str">
        <f t="shared" si="10"/>
        <v>156||['add']||facebookai/xlm-roberta-base|google-bert/bert-base-multilingual-cased|google-bert/bert-base-multilingual-uncased||C23</v>
      </c>
      <c r="L99">
        <f>IF(COUNTIF($K$2:K99, K99)=1, 1, 0)</f>
        <v>1</v>
      </c>
      <c r="M99" t="str">
        <f t="shared" si="15"/>
        <v>156||['add']||facebookai/xlm-roberta-base|google-bert/bert-base-multilingual-cased|google-bert/bert-base-multilingual-uncased||M17</v>
      </c>
      <c r="N99">
        <f>IF(COUNTIF($M$2:M99, M99)=1, 1, 0)</f>
        <v>1</v>
      </c>
      <c r="O99" t="str">
        <f t="shared" si="16"/>
        <v>156||['add']||facebookai/xlm-roberta-base|google-bert/bert-base-multilingual-cased|google-bert/bert-base-multilingual-uncased||T3</v>
      </c>
      <c r="P99">
        <f>IF(COUNTIF($O$2:O99, O99)=1, 1, 0)</f>
        <v>1</v>
      </c>
      <c r="Q99" t="str">
        <f t="shared" si="11"/>
        <v>93||C23</v>
      </c>
      <c r="R99">
        <f>IF(COUNTIF($Q$2:Q99, Q99)=1, 1, 0)</f>
        <v>1</v>
      </c>
      <c r="S99" t="str">
        <f t="shared" si="12"/>
        <v>93||M17</v>
      </c>
      <c r="T99">
        <f>IF(COUNTIF($S$2:S99, S99)=1, 1, 0)</f>
        <v>1</v>
      </c>
      <c r="U99" t="str">
        <f t="shared" si="13"/>
        <v>93||T3</v>
      </c>
      <c r="V99">
        <f>IF(COUNTIF($U$2:U99, U99)=1, 1, 0)</f>
        <v>1</v>
      </c>
      <c r="W99" t="s">
        <v>217</v>
      </c>
      <c r="X99" t="s">
        <v>321</v>
      </c>
      <c r="Y99" t="str">
        <f>_xlfn.XLOOKUP(X99, codes!A:A, codes!F:F, "")</f>
        <v>M17</v>
      </c>
      <c r="Z99" t="str">
        <f>_xlfn.XLOOKUP(Y99, 'sub-themes'!A:A, 'sub-themes'!H:H, "")</f>
        <v>T3</v>
      </c>
    </row>
    <row r="100" spans="1:26" x14ac:dyDescent="0.2">
      <c r="A100">
        <v>94</v>
      </c>
      <c r="B100">
        <v>156</v>
      </c>
      <c r="C100" t="s">
        <v>19</v>
      </c>
      <c r="D100">
        <v>24</v>
      </c>
      <c r="E100">
        <v>3</v>
      </c>
      <c r="F100" t="s">
        <v>8</v>
      </c>
      <c r="G100" t="s">
        <v>136</v>
      </c>
      <c r="H100" t="str">
        <f t="shared" si="14"/>
        <v>facebookai/xlm-roberta-base|google-bert/bert-base-multilingual-cased|google-bert/bert-base-multilingual-uncased</v>
      </c>
      <c r="I100" t="str">
        <f t="shared" si="17"/>
        <v>156||['add']||facebookai/xlm-roberta-base|google-bert/bert-base-multilingual-cased|google-bert/bert-base-multilingual-uncased</v>
      </c>
      <c r="J100">
        <f>IF(COUNTIF($I$2:I100, I100)=1, 1, 0)</f>
        <v>0</v>
      </c>
      <c r="K100" t="str">
        <f t="shared" si="10"/>
        <v>156||['add']||facebookai/xlm-roberta-base|google-bert/bert-base-multilingual-cased|google-bert/bert-base-multilingual-uncased||C23</v>
      </c>
      <c r="L100">
        <f>IF(COUNTIF($K$2:K100, K100)=1, 1, 0)</f>
        <v>0</v>
      </c>
      <c r="M100" t="str">
        <f t="shared" si="15"/>
        <v>156||['add']||facebookai/xlm-roberta-base|google-bert/bert-base-multilingual-cased|google-bert/bert-base-multilingual-uncased||M17</v>
      </c>
      <c r="N100">
        <f>IF(COUNTIF($M$2:M100, M100)=1, 1, 0)</f>
        <v>0</v>
      </c>
      <c r="O100" t="str">
        <f t="shared" si="16"/>
        <v>156||['add']||facebookai/xlm-roberta-base|google-bert/bert-base-multilingual-cased|google-bert/bert-base-multilingual-uncased||T3</v>
      </c>
      <c r="P100">
        <f>IF(COUNTIF($O$2:O100, O100)=1, 1, 0)</f>
        <v>0</v>
      </c>
      <c r="Q100" t="str">
        <f t="shared" si="11"/>
        <v>94||C23</v>
      </c>
      <c r="R100">
        <f>IF(COUNTIF($Q$2:Q100, Q100)=1, 1, 0)</f>
        <v>1</v>
      </c>
      <c r="S100" t="str">
        <f t="shared" si="12"/>
        <v>94||M17</v>
      </c>
      <c r="T100">
        <f>IF(COUNTIF($S$2:S100, S100)=1, 1, 0)</f>
        <v>1</v>
      </c>
      <c r="U100" t="str">
        <f t="shared" si="13"/>
        <v>94||T3</v>
      </c>
      <c r="V100">
        <f>IF(COUNTIF($U$2:U100, U100)=1, 1, 0)</f>
        <v>1</v>
      </c>
      <c r="W100" t="s">
        <v>218</v>
      </c>
      <c r="X100" t="s">
        <v>321</v>
      </c>
      <c r="Y100" t="str">
        <f>_xlfn.XLOOKUP(X100, codes!A:A, codes!F:F, "")</f>
        <v>M17</v>
      </c>
      <c r="Z100" t="str">
        <f>_xlfn.XLOOKUP(Y100, 'sub-themes'!A:A, 'sub-themes'!H:H, "")</f>
        <v>T3</v>
      </c>
    </row>
    <row r="101" spans="1:26" x14ac:dyDescent="0.2">
      <c r="A101">
        <v>95</v>
      </c>
      <c r="B101">
        <v>156</v>
      </c>
      <c r="C101" t="s">
        <v>28</v>
      </c>
      <c r="D101">
        <v>24</v>
      </c>
      <c r="E101">
        <v>3</v>
      </c>
      <c r="F101" t="s">
        <v>8</v>
      </c>
      <c r="G101" t="s">
        <v>136</v>
      </c>
      <c r="H101" t="str">
        <f t="shared" si="14"/>
        <v>facebookai/xlm-roberta-base|google-bert/bert-base-multilingual-cased|google-bert/bert-base-multilingual-uncased</v>
      </c>
      <c r="I101" t="str">
        <f t="shared" si="17"/>
        <v>156||['add']||facebookai/xlm-roberta-base|google-bert/bert-base-multilingual-cased|google-bert/bert-base-multilingual-uncased</v>
      </c>
      <c r="J101">
        <f>IF(COUNTIF($I$2:I101, I101)=1, 1, 0)</f>
        <v>0</v>
      </c>
      <c r="K101" t="str">
        <f t="shared" si="10"/>
        <v>156||['add']||facebookai/xlm-roberta-base|google-bert/bert-base-multilingual-cased|google-bert/bert-base-multilingual-uncased||C23</v>
      </c>
      <c r="L101">
        <f>IF(COUNTIF($K$2:K101, K101)=1, 1, 0)</f>
        <v>0</v>
      </c>
      <c r="M101" t="str">
        <f t="shared" si="15"/>
        <v>156||['add']||facebookai/xlm-roberta-base|google-bert/bert-base-multilingual-cased|google-bert/bert-base-multilingual-uncased||M17</v>
      </c>
      <c r="N101">
        <f>IF(COUNTIF($M$2:M101, M101)=1, 1, 0)</f>
        <v>0</v>
      </c>
      <c r="O101" t="str">
        <f t="shared" si="16"/>
        <v>156||['add']||facebookai/xlm-roberta-base|google-bert/bert-base-multilingual-cased|google-bert/bert-base-multilingual-uncased||T3</v>
      </c>
      <c r="P101">
        <f>IF(COUNTIF($O$2:O101, O101)=1, 1, 0)</f>
        <v>0</v>
      </c>
      <c r="Q101" t="str">
        <f t="shared" si="11"/>
        <v>95||C23</v>
      </c>
      <c r="R101">
        <f>IF(COUNTIF($Q$2:Q101, Q101)=1, 1, 0)</f>
        <v>1</v>
      </c>
      <c r="S101" t="str">
        <f t="shared" si="12"/>
        <v>95||M17</v>
      </c>
      <c r="T101">
        <f>IF(COUNTIF($S$2:S101, S101)=1, 1, 0)</f>
        <v>1</v>
      </c>
      <c r="U101" t="str">
        <f t="shared" si="13"/>
        <v>95||T3</v>
      </c>
      <c r="V101">
        <f>IF(COUNTIF($U$2:U101, U101)=1, 1, 0)</f>
        <v>1</v>
      </c>
      <c r="W101" t="s">
        <v>216</v>
      </c>
      <c r="X101" t="s">
        <v>321</v>
      </c>
      <c r="Y101" t="str">
        <f>_xlfn.XLOOKUP(X101, codes!A:A, codes!F:F, "")</f>
        <v>M17</v>
      </c>
      <c r="Z101" t="str">
        <f>_xlfn.XLOOKUP(Y101, 'sub-themes'!A:A, 'sub-themes'!H:H, "")</f>
        <v>T3</v>
      </c>
    </row>
    <row r="102" spans="1:26" x14ac:dyDescent="0.2">
      <c r="A102">
        <v>96</v>
      </c>
      <c r="B102">
        <v>157</v>
      </c>
      <c r="C102" t="s">
        <v>7</v>
      </c>
      <c r="D102">
        <v>16</v>
      </c>
      <c r="E102">
        <v>3</v>
      </c>
      <c r="F102" t="s">
        <v>8</v>
      </c>
      <c r="G102" t="s">
        <v>136</v>
      </c>
      <c r="H102" t="str">
        <f t="shared" si="14"/>
        <v>facebookai/xlm-roberta-base|google-bert/bert-base-multilingual-cased|google-bert/bert-base-multilingual-uncased</v>
      </c>
      <c r="I102" t="str">
        <f t="shared" si="17"/>
        <v>157||['add']||facebookai/xlm-roberta-base|google-bert/bert-base-multilingual-cased|google-bert/bert-base-multilingual-uncased</v>
      </c>
      <c r="J102">
        <f>IF(COUNTIF($I$2:I102, I102)=1, 1, 0)</f>
        <v>1</v>
      </c>
      <c r="K102" t="str">
        <f t="shared" si="10"/>
        <v>157||['add']||facebookai/xlm-roberta-base|google-bert/bert-base-multilingual-cased|google-bert/bert-base-multilingual-uncased||C23</v>
      </c>
      <c r="L102">
        <f>IF(COUNTIF($K$2:K102, K102)=1, 1, 0)</f>
        <v>1</v>
      </c>
      <c r="M102" t="str">
        <f t="shared" si="15"/>
        <v>157||['add']||facebookai/xlm-roberta-base|google-bert/bert-base-multilingual-cased|google-bert/bert-base-multilingual-uncased||M17</v>
      </c>
      <c r="N102">
        <f>IF(COUNTIF($M$2:M102, M102)=1, 1, 0)</f>
        <v>1</v>
      </c>
      <c r="O102" t="str">
        <f t="shared" si="16"/>
        <v>157||['add']||facebookai/xlm-roberta-base|google-bert/bert-base-multilingual-cased|google-bert/bert-base-multilingual-uncased||T3</v>
      </c>
      <c r="P102">
        <f>IF(COUNTIF($O$2:O102, O102)=1, 1, 0)</f>
        <v>1</v>
      </c>
      <c r="Q102" t="str">
        <f t="shared" si="11"/>
        <v>96||C23</v>
      </c>
      <c r="R102">
        <f>IF(COUNTIF($Q$2:Q102, Q102)=1, 1, 0)</f>
        <v>1</v>
      </c>
      <c r="S102" t="str">
        <f t="shared" si="12"/>
        <v>96||M17</v>
      </c>
      <c r="T102">
        <f>IF(COUNTIF($S$2:S102, S102)=1, 1, 0)</f>
        <v>1</v>
      </c>
      <c r="U102" t="str">
        <f t="shared" si="13"/>
        <v>96||T3</v>
      </c>
      <c r="V102">
        <f>IF(COUNTIF($U$2:U102, U102)=1, 1, 0)</f>
        <v>1</v>
      </c>
      <c r="W102" t="s">
        <v>220</v>
      </c>
      <c r="X102" t="s">
        <v>321</v>
      </c>
      <c r="Y102" t="str">
        <f>_xlfn.XLOOKUP(X102, codes!A:A, codes!F:F, "")</f>
        <v>M17</v>
      </c>
      <c r="Z102" t="str">
        <f>_xlfn.XLOOKUP(Y102, 'sub-themes'!A:A, 'sub-themes'!H:H, "")</f>
        <v>T3</v>
      </c>
    </row>
    <row r="103" spans="1:26" x14ac:dyDescent="0.2">
      <c r="A103">
        <v>97</v>
      </c>
      <c r="B103">
        <v>157</v>
      </c>
      <c r="C103" t="s">
        <v>19</v>
      </c>
      <c r="D103">
        <v>16</v>
      </c>
      <c r="E103">
        <v>3</v>
      </c>
      <c r="F103" t="s">
        <v>8</v>
      </c>
      <c r="G103" t="s">
        <v>136</v>
      </c>
      <c r="H103" t="str">
        <f t="shared" si="14"/>
        <v>facebookai/xlm-roberta-base|google-bert/bert-base-multilingual-cased|google-bert/bert-base-multilingual-uncased</v>
      </c>
      <c r="I103" t="str">
        <f t="shared" si="17"/>
        <v>157||['add']||facebookai/xlm-roberta-base|google-bert/bert-base-multilingual-cased|google-bert/bert-base-multilingual-uncased</v>
      </c>
      <c r="J103">
        <f>IF(COUNTIF($I$2:I103, I103)=1, 1, 0)</f>
        <v>0</v>
      </c>
      <c r="K103" t="str">
        <f t="shared" si="10"/>
        <v>157||['add']||facebookai/xlm-roberta-base|google-bert/bert-base-multilingual-cased|google-bert/bert-base-multilingual-uncased||C23</v>
      </c>
      <c r="L103">
        <f>IF(COUNTIF($K$2:K103, K103)=1, 1, 0)</f>
        <v>0</v>
      </c>
      <c r="M103" t="str">
        <f t="shared" si="15"/>
        <v>157||['add']||facebookai/xlm-roberta-base|google-bert/bert-base-multilingual-cased|google-bert/bert-base-multilingual-uncased||M17</v>
      </c>
      <c r="N103">
        <f>IF(COUNTIF($M$2:M103, M103)=1, 1, 0)</f>
        <v>0</v>
      </c>
      <c r="O103" t="str">
        <f t="shared" si="16"/>
        <v>157||['add']||facebookai/xlm-roberta-base|google-bert/bert-base-multilingual-cased|google-bert/bert-base-multilingual-uncased||T3</v>
      </c>
      <c r="P103">
        <f>IF(COUNTIF($O$2:O103, O103)=1, 1, 0)</f>
        <v>0</v>
      </c>
      <c r="Q103" t="str">
        <f t="shared" si="11"/>
        <v>97||C23</v>
      </c>
      <c r="R103">
        <f>IF(COUNTIF($Q$2:Q103, Q103)=1, 1, 0)</f>
        <v>1</v>
      </c>
      <c r="S103" t="str">
        <f t="shared" si="12"/>
        <v>97||M17</v>
      </c>
      <c r="T103">
        <f>IF(COUNTIF($S$2:S103, S103)=1, 1, 0)</f>
        <v>1</v>
      </c>
      <c r="U103" t="str">
        <f t="shared" si="13"/>
        <v>97||T3</v>
      </c>
      <c r="V103">
        <f>IF(COUNTIF($U$2:U103, U103)=1, 1, 0)</f>
        <v>1</v>
      </c>
      <c r="W103" t="s">
        <v>219</v>
      </c>
      <c r="X103" t="s">
        <v>321</v>
      </c>
      <c r="Y103" t="str">
        <f>_xlfn.XLOOKUP(X103, codes!A:A, codes!F:F, "")</f>
        <v>M17</v>
      </c>
      <c r="Z103" t="str">
        <f>_xlfn.XLOOKUP(Y103, 'sub-themes'!A:A, 'sub-themes'!H:H, "")</f>
        <v>T3</v>
      </c>
    </row>
    <row r="104" spans="1:26" x14ac:dyDescent="0.2">
      <c r="A104">
        <v>98</v>
      </c>
      <c r="B104">
        <v>158</v>
      </c>
      <c r="C104" t="s">
        <v>7</v>
      </c>
      <c r="D104">
        <v>2</v>
      </c>
      <c r="E104">
        <v>1</v>
      </c>
      <c r="F104" t="s">
        <v>8</v>
      </c>
      <c r="G104" t="s">
        <v>22</v>
      </c>
      <c r="H104" t="str">
        <f t="shared" si="14"/>
        <v>google-bert/bert-base-uncased</v>
      </c>
      <c r="I104" t="str">
        <f t="shared" si="17"/>
        <v>158||['add']||google-bert/bert-base-uncased</v>
      </c>
      <c r="J104">
        <f>IF(COUNTIF($I$2:I104, I104)=1, 1, 0)</f>
        <v>1</v>
      </c>
      <c r="K104" t="str">
        <f t="shared" si="10"/>
        <v>158||['add']||google-bert/bert-base-uncased||C21</v>
      </c>
      <c r="L104">
        <f>IF(COUNTIF($K$2:K104, K104)=1, 1, 0)</f>
        <v>1</v>
      </c>
      <c r="M104" t="str">
        <f t="shared" si="15"/>
        <v>158||['add']||google-bert/bert-base-uncased||M2</v>
      </c>
      <c r="N104">
        <f>IF(COUNTIF($M$2:M104, M104)=1, 1, 0)</f>
        <v>1</v>
      </c>
      <c r="O104" t="str">
        <f t="shared" si="16"/>
        <v>158||['add']||google-bert/bert-base-uncased||T2</v>
      </c>
      <c r="P104">
        <f>IF(COUNTIF($O$2:O104, O104)=1, 1, 0)</f>
        <v>1</v>
      </c>
      <c r="Q104" t="str">
        <f t="shared" si="11"/>
        <v>98||C21</v>
      </c>
      <c r="R104">
        <f>IF(COUNTIF($Q$2:Q104, Q104)=1, 1, 0)</f>
        <v>1</v>
      </c>
      <c r="S104" t="str">
        <f t="shared" si="12"/>
        <v>98||M2</v>
      </c>
      <c r="T104">
        <f>IF(COUNTIF($S$2:S104, S104)=1, 1, 0)</f>
        <v>1</v>
      </c>
      <c r="U104" t="str">
        <f t="shared" si="13"/>
        <v>98||T2</v>
      </c>
      <c r="V104">
        <f>IF(COUNTIF($U$2:U104, U104)=1, 1, 0)</f>
        <v>1</v>
      </c>
      <c r="W104" t="s">
        <v>137</v>
      </c>
      <c r="X104" t="s">
        <v>319</v>
      </c>
      <c r="Y104" t="str">
        <f>_xlfn.XLOOKUP(X104, codes!A:A, codes!F:F, "")</f>
        <v>M2</v>
      </c>
      <c r="Z104" t="str">
        <f>_xlfn.XLOOKUP(Y104, 'sub-themes'!A:A, 'sub-themes'!H:H, "")</f>
        <v>T2</v>
      </c>
    </row>
    <row r="105" spans="1:26" x14ac:dyDescent="0.2">
      <c r="A105">
        <v>99</v>
      </c>
      <c r="B105">
        <v>158</v>
      </c>
      <c r="C105" t="s">
        <v>19</v>
      </c>
      <c r="D105">
        <v>2</v>
      </c>
      <c r="E105">
        <v>1</v>
      </c>
      <c r="F105" t="s">
        <v>8</v>
      </c>
      <c r="G105" t="s">
        <v>22</v>
      </c>
      <c r="H105" t="str">
        <f t="shared" si="14"/>
        <v>google-bert/bert-base-uncased</v>
      </c>
      <c r="I105" t="str">
        <f t="shared" si="17"/>
        <v>158||['add']||google-bert/bert-base-uncased</v>
      </c>
      <c r="J105">
        <f>IF(COUNTIF($I$2:I105, I105)=1, 1, 0)</f>
        <v>0</v>
      </c>
      <c r="K105" t="str">
        <f t="shared" si="10"/>
        <v>158||['add']||google-bert/bert-base-uncased||C21</v>
      </c>
      <c r="L105">
        <f>IF(COUNTIF($K$2:K105, K105)=1, 1, 0)</f>
        <v>0</v>
      </c>
      <c r="M105" t="str">
        <f t="shared" si="15"/>
        <v>158||['add']||google-bert/bert-base-uncased||M2</v>
      </c>
      <c r="N105">
        <f>IF(COUNTIF($M$2:M105, M105)=1, 1, 0)</f>
        <v>0</v>
      </c>
      <c r="O105" t="str">
        <f t="shared" si="16"/>
        <v>158||['add']||google-bert/bert-base-uncased||T2</v>
      </c>
      <c r="P105">
        <f>IF(COUNTIF($O$2:O105, O105)=1, 1, 0)</f>
        <v>0</v>
      </c>
      <c r="Q105" t="str">
        <f t="shared" si="11"/>
        <v>99||C21</v>
      </c>
      <c r="R105">
        <f>IF(COUNTIF($Q$2:Q105, Q105)=1, 1, 0)</f>
        <v>1</v>
      </c>
      <c r="S105" t="str">
        <f t="shared" si="12"/>
        <v>99||M2</v>
      </c>
      <c r="T105">
        <f>IF(COUNTIF($S$2:S105, S105)=1, 1, 0)</f>
        <v>1</v>
      </c>
      <c r="U105" t="str">
        <f t="shared" si="13"/>
        <v>99||T2</v>
      </c>
      <c r="V105">
        <f>IF(COUNTIF($U$2:U105, U105)=1, 1, 0)</f>
        <v>1</v>
      </c>
      <c r="W105" t="s">
        <v>138</v>
      </c>
      <c r="X105" t="s">
        <v>319</v>
      </c>
      <c r="Y105" t="str">
        <f>_xlfn.XLOOKUP(X105, codes!A:A, codes!F:F, "")</f>
        <v>M2</v>
      </c>
      <c r="Z105" t="str">
        <f>_xlfn.XLOOKUP(Y105, 'sub-themes'!A:A, 'sub-themes'!H:H, "")</f>
        <v>T2</v>
      </c>
    </row>
    <row r="106" spans="1:26" x14ac:dyDescent="0.2">
      <c r="A106">
        <v>100</v>
      </c>
      <c r="B106">
        <v>159</v>
      </c>
      <c r="C106" t="s">
        <v>15</v>
      </c>
      <c r="D106">
        <v>3</v>
      </c>
      <c r="E106">
        <v>2</v>
      </c>
      <c r="F106" t="s">
        <v>8</v>
      </c>
      <c r="G106" t="s">
        <v>139</v>
      </c>
      <c r="H106" t="str">
        <f t="shared" si="14"/>
        <v>microsoft/speecht5_tts|microsoft/speecht5_hifigan</v>
      </c>
      <c r="I106" t="str">
        <f t="shared" si="17"/>
        <v>159||['add']||microsoft/speecht5_tts|microsoft/speecht5_hifigan</v>
      </c>
      <c r="J106">
        <f>IF(COUNTIF($I$2:I106, I106)=1, 1, 0)</f>
        <v>1</v>
      </c>
      <c r="K106" t="str">
        <f t="shared" si="10"/>
        <v>159||['add']||microsoft/speecht5_tts|microsoft/speecht5_hifigan||C50</v>
      </c>
      <c r="L106">
        <f>IF(COUNTIF($K$2:K106, K106)=1, 1, 0)</f>
        <v>1</v>
      </c>
      <c r="M106" t="str">
        <f t="shared" si="15"/>
        <v>159||['add']||microsoft/speecht5_tts|microsoft/speecht5_hifigan||M12</v>
      </c>
      <c r="N106">
        <f>IF(COUNTIF($M$2:M106, M106)=1, 1, 0)</f>
        <v>1</v>
      </c>
      <c r="O106" t="str">
        <f t="shared" si="16"/>
        <v>159||['add']||microsoft/speecht5_tts|microsoft/speecht5_hifigan||T5</v>
      </c>
      <c r="P106">
        <f>IF(COUNTIF($O$2:O106, O106)=1, 1, 0)</f>
        <v>1</v>
      </c>
      <c r="Q106" t="str">
        <f t="shared" si="11"/>
        <v>100||C50</v>
      </c>
      <c r="R106">
        <f>IF(COUNTIF($Q$2:Q106, Q106)=1, 1, 0)</f>
        <v>1</v>
      </c>
      <c r="S106" t="str">
        <f t="shared" si="12"/>
        <v>100||M12</v>
      </c>
      <c r="T106">
        <f>IF(COUNTIF($S$2:S106, S106)=1, 1, 0)</f>
        <v>1</v>
      </c>
      <c r="U106" t="str">
        <f t="shared" si="13"/>
        <v>100||T5</v>
      </c>
      <c r="V106">
        <f>IF(COUNTIF($U$2:U106, U106)=1, 1, 0)</f>
        <v>1</v>
      </c>
      <c r="W106" t="s">
        <v>508</v>
      </c>
      <c r="X106" t="s">
        <v>397</v>
      </c>
      <c r="Y106" t="str">
        <f>_xlfn.XLOOKUP(X106, codes!A:A, codes!F:F, "")</f>
        <v>M12</v>
      </c>
      <c r="Z106" t="str">
        <f>_xlfn.XLOOKUP(Y106, 'sub-themes'!A:A, 'sub-themes'!H:H, "")</f>
        <v>T5</v>
      </c>
    </row>
    <row r="107" spans="1:26" x14ac:dyDescent="0.2">
      <c r="A107">
        <v>101</v>
      </c>
      <c r="B107">
        <v>159</v>
      </c>
      <c r="C107" t="s">
        <v>7</v>
      </c>
      <c r="D107">
        <v>3</v>
      </c>
      <c r="E107">
        <v>2</v>
      </c>
      <c r="F107" t="s">
        <v>8</v>
      </c>
      <c r="G107" t="s">
        <v>139</v>
      </c>
      <c r="H107" t="str">
        <f t="shared" si="14"/>
        <v>microsoft/speecht5_tts|microsoft/speecht5_hifigan</v>
      </c>
      <c r="I107" t="str">
        <f t="shared" si="17"/>
        <v>159||['add']||microsoft/speecht5_tts|microsoft/speecht5_hifigan</v>
      </c>
      <c r="J107">
        <f>IF(COUNTIF($I$2:I107, I107)=1, 1, 0)</f>
        <v>0</v>
      </c>
      <c r="K107" t="str">
        <f t="shared" si="10"/>
        <v>159||['add']||microsoft/speecht5_tts|microsoft/speecht5_hifigan||C50</v>
      </c>
      <c r="L107">
        <f>IF(COUNTIF($K$2:K107, K107)=1, 1, 0)</f>
        <v>0</v>
      </c>
      <c r="M107" t="str">
        <f t="shared" si="15"/>
        <v>159||['add']||microsoft/speecht5_tts|microsoft/speecht5_hifigan||M12</v>
      </c>
      <c r="N107">
        <f>IF(COUNTIF($M$2:M107, M107)=1, 1, 0)</f>
        <v>0</v>
      </c>
      <c r="O107" t="str">
        <f t="shared" si="16"/>
        <v>159||['add']||microsoft/speecht5_tts|microsoft/speecht5_hifigan||T5</v>
      </c>
      <c r="P107">
        <f>IF(COUNTIF($O$2:O107, O107)=1, 1, 0)</f>
        <v>0</v>
      </c>
      <c r="Q107" t="str">
        <f t="shared" si="11"/>
        <v>101||C50</v>
      </c>
      <c r="R107">
        <f>IF(COUNTIF($Q$2:Q107, Q107)=1, 1, 0)</f>
        <v>1</v>
      </c>
      <c r="S107" t="str">
        <f t="shared" si="12"/>
        <v>101||M12</v>
      </c>
      <c r="T107">
        <f>IF(COUNTIF($S$2:S107, S107)=1, 1, 0)</f>
        <v>1</v>
      </c>
      <c r="U107" t="str">
        <f t="shared" si="13"/>
        <v>101||T5</v>
      </c>
      <c r="V107">
        <f>IF(COUNTIF($U$2:U107, U107)=1, 1, 0)</f>
        <v>1</v>
      </c>
      <c r="W107" t="s">
        <v>140</v>
      </c>
      <c r="X107" t="s">
        <v>397</v>
      </c>
      <c r="Y107" t="str">
        <f>_xlfn.XLOOKUP(X107, codes!A:A, codes!F:F, "")</f>
        <v>M12</v>
      </c>
      <c r="Z107" t="str">
        <f>_xlfn.XLOOKUP(Y107, 'sub-themes'!A:A, 'sub-themes'!H:H, "")</f>
        <v>T5</v>
      </c>
    </row>
    <row r="108" spans="1:26" x14ac:dyDescent="0.2">
      <c r="A108">
        <v>102</v>
      </c>
      <c r="B108">
        <v>159</v>
      </c>
      <c r="C108" t="s">
        <v>19</v>
      </c>
      <c r="D108">
        <v>3</v>
      </c>
      <c r="E108">
        <v>2</v>
      </c>
      <c r="F108" t="s">
        <v>8</v>
      </c>
      <c r="G108" t="s">
        <v>139</v>
      </c>
      <c r="H108" t="str">
        <f t="shared" si="14"/>
        <v>microsoft/speecht5_tts|microsoft/speecht5_hifigan</v>
      </c>
      <c r="I108" t="str">
        <f t="shared" si="17"/>
        <v>159||['add']||microsoft/speecht5_tts|microsoft/speecht5_hifigan</v>
      </c>
      <c r="J108">
        <f>IF(COUNTIF($I$2:I108, I108)=1, 1, 0)</f>
        <v>0</v>
      </c>
      <c r="K108" t="str">
        <f t="shared" si="10"/>
        <v>159||['add']||microsoft/speecht5_tts|microsoft/speecht5_hifigan||C50</v>
      </c>
      <c r="L108">
        <f>IF(COUNTIF($K$2:K108, K108)=1, 1, 0)</f>
        <v>0</v>
      </c>
      <c r="M108" t="str">
        <f t="shared" si="15"/>
        <v>159||['add']||microsoft/speecht5_tts|microsoft/speecht5_hifigan||M12</v>
      </c>
      <c r="N108">
        <f>IF(COUNTIF($M$2:M108, M108)=1, 1, 0)</f>
        <v>0</v>
      </c>
      <c r="O108" t="str">
        <f t="shared" si="16"/>
        <v>159||['add']||microsoft/speecht5_tts|microsoft/speecht5_hifigan||T5</v>
      </c>
      <c r="P108">
        <f>IF(COUNTIF($O$2:O108, O108)=1, 1, 0)</f>
        <v>0</v>
      </c>
      <c r="Q108" t="str">
        <f t="shared" si="11"/>
        <v>102||C50</v>
      </c>
      <c r="R108">
        <f>IF(COUNTIF($Q$2:Q108, Q108)=1, 1, 0)</f>
        <v>1</v>
      </c>
      <c r="S108" t="str">
        <f t="shared" si="12"/>
        <v>102||M12</v>
      </c>
      <c r="T108">
        <f>IF(COUNTIF($S$2:S108, S108)=1, 1, 0)</f>
        <v>1</v>
      </c>
      <c r="U108" t="str">
        <f t="shared" si="13"/>
        <v>102||T5</v>
      </c>
      <c r="V108">
        <f>IF(COUNTIF($U$2:U108, U108)=1, 1, 0)</f>
        <v>1</v>
      </c>
      <c r="W108" t="s">
        <v>140</v>
      </c>
      <c r="X108" t="s">
        <v>397</v>
      </c>
      <c r="Y108" t="str">
        <f>_xlfn.XLOOKUP(X108, codes!A:A, codes!F:F, "")</f>
        <v>M12</v>
      </c>
      <c r="Z108" t="str">
        <f>_xlfn.XLOOKUP(Y108, 'sub-themes'!A:A, 'sub-themes'!H:H, "")</f>
        <v>T5</v>
      </c>
    </row>
    <row r="109" spans="1:26" x14ac:dyDescent="0.2">
      <c r="A109">
        <v>103</v>
      </c>
      <c r="B109">
        <v>160</v>
      </c>
      <c r="C109" t="s">
        <v>19</v>
      </c>
      <c r="D109">
        <v>2</v>
      </c>
      <c r="E109">
        <v>1</v>
      </c>
      <c r="F109" t="s">
        <v>8</v>
      </c>
      <c r="G109" t="s">
        <v>141</v>
      </c>
      <c r="H109" t="str">
        <f t="shared" si="14"/>
        <v>microsoft/deberta-v2-xlarge-mnli</v>
      </c>
      <c r="I109" t="str">
        <f t="shared" si="17"/>
        <v>160||['add']||microsoft/deberta-v2-xlarge-mnli</v>
      </c>
      <c r="J109">
        <f>IF(COUNTIF($I$2:I109, I109)=1, 1, 0)</f>
        <v>1</v>
      </c>
      <c r="K109" t="str">
        <f t="shared" si="10"/>
        <v>160||['add']||microsoft/deberta-v2-xlarge-mnli||C53</v>
      </c>
      <c r="L109">
        <f>IF(COUNTIF($K$2:K109, K109)=1, 1, 0)</f>
        <v>1</v>
      </c>
      <c r="M109" t="str">
        <f t="shared" si="15"/>
        <v>160||['add']||microsoft/deberta-v2-xlarge-mnli||M12</v>
      </c>
      <c r="N109">
        <f>IF(COUNTIF($M$2:M109, M109)=1, 1, 0)</f>
        <v>1</v>
      </c>
      <c r="O109" t="str">
        <f t="shared" si="16"/>
        <v>160||['add']||microsoft/deberta-v2-xlarge-mnli||T5</v>
      </c>
      <c r="P109">
        <f>IF(COUNTIF($O$2:O109, O109)=1, 1, 0)</f>
        <v>1</v>
      </c>
      <c r="Q109" t="str">
        <f t="shared" si="11"/>
        <v>103||C53</v>
      </c>
      <c r="R109">
        <f>IF(COUNTIF($Q$2:Q109, Q109)=1, 1, 0)</f>
        <v>1</v>
      </c>
      <c r="S109" t="str">
        <f t="shared" si="12"/>
        <v>103||M12</v>
      </c>
      <c r="T109">
        <f>IF(COUNTIF($S$2:S109, S109)=1, 1, 0)</f>
        <v>1</v>
      </c>
      <c r="U109" t="str">
        <f t="shared" si="13"/>
        <v>103||T5</v>
      </c>
      <c r="V109">
        <f>IF(COUNTIF($U$2:U109, U109)=1, 1, 0)</f>
        <v>1</v>
      </c>
      <c r="W109" t="s">
        <v>221</v>
      </c>
      <c r="X109" t="s">
        <v>404</v>
      </c>
      <c r="Y109" t="str">
        <f>_xlfn.XLOOKUP(X109, codes!A:A, codes!F:F, "")</f>
        <v>M12</v>
      </c>
      <c r="Z109" t="str">
        <f>_xlfn.XLOOKUP(Y109, 'sub-themes'!A:A, 'sub-themes'!H:H, "")</f>
        <v>T5</v>
      </c>
    </row>
    <row r="110" spans="1:26" x14ac:dyDescent="0.2">
      <c r="A110">
        <v>104</v>
      </c>
      <c r="B110">
        <v>161</v>
      </c>
      <c r="C110" t="s">
        <v>19</v>
      </c>
      <c r="D110">
        <v>1</v>
      </c>
      <c r="E110">
        <v>1</v>
      </c>
      <c r="F110" t="s">
        <v>8</v>
      </c>
      <c r="G110" t="s">
        <v>142</v>
      </c>
      <c r="H110" t="str">
        <f t="shared" si="14"/>
        <v>tarekziade/pardonmyai</v>
      </c>
      <c r="I110" t="str">
        <f t="shared" si="17"/>
        <v>161||['add']||tarekziade/pardonmyai</v>
      </c>
      <c r="J110">
        <f>IF(COUNTIF($I$2:I110, I110)=1, 1, 0)</f>
        <v>1</v>
      </c>
      <c r="K110" t="str">
        <f t="shared" si="10"/>
        <v>161||['add']||tarekziade/pardonmyai||C34</v>
      </c>
      <c r="L110">
        <f>IF(COUNTIF($K$2:K110, K110)=1, 1, 0)</f>
        <v>1</v>
      </c>
      <c r="M110" t="str">
        <f t="shared" si="15"/>
        <v>161||['add']||tarekziade/pardonmyai||M1</v>
      </c>
      <c r="N110">
        <f>IF(COUNTIF($M$2:M110, M110)=1, 1, 0)</f>
        <v>1</v>
      </c>
      <c r="O110" t="str">
        <f t="shared" si="16"/>
        <v>161||['add']||tarekziade/pardonmyai||T1</v>
      </c>
      <c r="P110">
        <f>IF(COUNTIF($O$2:O110, O110)=1, 1, 0)</f>
        <v>1</v>
      </c>
      <c r="Q110" t="str">
        <f t="shared" si="11"/>
        <v>104||C34</v>
      </c>
      <c r="R110">
        <f>IF(COUNTIF($Q$2:Q110, Q110)=1, 1, 0)</f>
        <v>1</v>
      </c>
      <c r="S110" t="str">
        <f t="shared" si="12"/>
        <v>104||M1</v>
      </c>
      <c r="T110">
        <f>IF(COUNTIF($S$2:S110, S110)=1, 1, 0)</f>
        <v>1</v>
      </c>
      <c r="U110" t="str">
        <f t="shared" si="13"/>
        <v>104||T1</v>
      </c>
      <c r="V110">
        <f>IF(COUNTIF($U$2:U110, U110)=1, 1, 0)</f>
        <v>1</v>
      </c>
      <c r="W110" t="s">
        <v>143</v>
      </c>
      <c r="X110" t="s">
        <v>341</v>
      </c>
      <c r="Y110" t="str">
        <f>_xlfn.XLOOKUP(X110, codes!A:A, codes!F:F, "")</f>
        <v>M1</v>
      </c>
      <c r="Z110" t="str">
        <f>_xlfn.XLOOKUP(Y110, 'sub-themes'!A:A, 'sub-themes'!H:H, "")</f>
        <v>T1</v>
      </c>
    </row>
    <row r="111" spans="1:26" x14ac:dyDescent="0.2">
      <c r="A111">
        <v>105</v>
      </c>
      <c r="B111">
        <v>167</v>
      </c>
      <c r="C111" t="s">
        <v>19</v>
      </c>
      <c r="D111">
        <v>4</v>
      </c>
      <c r="E111">
        <v>2</v>
      </c>
      <c r="F111" t="s">
        <v>8</v>
      </c>
      <c r="G111" t="s">
        <v>144</v>
      </c>
      <c r="H111" t="str">
        <f t="shared" si="14"/>
        <v>zigeng/slimsam-uniform-77|zigeng/slimsam-uniform-50</v>
      </c>
      <c r="I111" t="str">
        <f t="shared" si="17"/>
        <v>167||['add']||zigeng/slimsam-uniform-77|zigeng/slimsam-uniform-50</v>
      </c>
      <c r="J111">
        <f>IF(COUNTIF($I$2:I111, I111)=1, 1, 0)</f>
        <v>1</v>
      </c>
      <c r="K111" t="str">
        <f t="shared" si="10"/>
        <v>167||['add']||zigeng/slimsam-uniform-77|zigeng/slimsam-uniform-50||C19</v>
      </c>
      <c r="L111">
        <f>IF(COUNTIF($K$2:K111, K111)=1, 1, 0)</f>
        <v>1</v>
      </c>
      <c r="M111" t="str">
        <f t="shared" si="15"/>
        <v>167||['add']||zigeng/slimsam-uniform-77|zigeng/slimsam-uniform-50||M4</v>
      </c>
      <c r="N111">
        <f>IF(COUNTIF($M$2:M111, M111)=1, 1, 0)</f>
        <v>1</v>
      </c>
      <c r="O111" t="str">
        <f t="shared" si="16"/>
        <v>167||['add']||zigeng/slimsam-uniform-77|zigeng/slimsam-uniform-50||T1</v>
      </c>
      <c r="P111">
        <f>IF(COUNTIF($O$2:O111, O111)=1, 1, 0)</f>
        <v>1</v>
      </c>
      <c r="Q111" t="str">
        <f t="shared" si="11"/>
        <v>105||C19</v>
      </c>
      <c r="R111">
        <f>IF(COUNTIF($Q$2:Q111, Q111)=1, 1, 0)</f>
        <v>1</v>
      </c>
      <c r="S111" t="str">
        <f t="shared" si="12"/>
        <v>105||M4</v>
      </c>
      <c r="T111">
        <f>IF(COUNTIF($S$2:S111, S111)=1, 1, 0)</f>
        <v>1</v>
      </c>
      <c r="U111" t="str">
        <f t="shared" si="13"/>
        <v>105||T1</v>
      </c>
      <c r="V111">
        <f>IF(COUNTIF($U$2:U111, U111)=1, 1, 0)</f>
        <v>1</v>
      </c>
      <c r="W111" t="s">
        <v>145</v>
      </c>
      <c r="X111" t="s">
        <v>316</v>
      </c>
      <c r="Y111" t="str">
        <f>_xlfn.XLOOKUP(X111, codes!A:A, codes!F:F, "")</f>
        <v>M4</v>
      </c>
      <c r="Z111" t="str">
        <f>_xlfn.XLOOKUP(Y111, 'sub-themes'!A:A, 'sub-themes'!H:H, "")</f>
        <v>T1</v>
      </c>
    </row>
    <row r="112" spans="1:26" x14ac:dyDescent="0.2">
      <c r="A112">
        <v>106</v>
      </c>
      <c r="B112">
        <v>168</v>
      </c>
      <c r="C112" t="s">
        <v>15</v>
      </c>
      <c r="D112">
        <v>2</v>
      </c>
      <c r="E112">
        <v>1</v>
      </c>
      <c r="F112" t="s">
        <v>8</v>
      </c>
      <c r="G112" t="s">
        <v>146</v>
      </c>
      <c r="H112" t="str">
        <f t="shared" si="14"/>
        <v>shuttleai/shuttle-3-diffusion</v>
      </c>
      <c r="I112" t="str">
        <f t="shared" si="17"/>
        <v>168||['add']||shuttleai/shuttle-3-diffusion</v>
      </c>
      <c r="J112">
        <f>IF(COUNTIF($I$2:I112, I112)=1, 1, 0)</f>
        <v>1</v>
      </c>
      <c r="K112" t="str">
        <f t="shared" si="10"/>
        <v>168||['add']||shuttleai/shuttle-3-diffusion||C31</v>
      </c>
      <c r="L112">
        <f>IF(COUNTIF($K$2:K112, K112)=1, 1, 0)</f>
        <v>1</v>
      </c>
      <c r="M112" t="str">
        <f t="shared" si="15"/>
        <v>168||['add']||shuttleai/shuttle-3-diffusion||M4</v>
      </c>
      <c r="N112">
        <f>IF(COUNTIF($M$2:M112, M112)=1, 1, 0)</f>
        <v>1</v>
      </c>
      <c r="O112" t="str">
        <f t="shared" si="16"/>
        <v>168||['add']||shuttleai/shuttle-3-diffusion||T1</v>
      </c>
      <c r="P112">
        <f>IF(COUNTIF($O$2:O112, O112)=1, 1, 0)</f>
        <v>1</v>
      </c>
      <c r="Q112" t="str">
        <f t="shared" si="11"/>
        <v>106||C31</v>
      </c>
      <c r="R112">
        <f>IF(COUNTIF($Q$2:Q112, Q112)=1, 1, 0)</f>
        <v>1</v>
      </c>
      <c r="S112" t="str">
        <f t="shared" si="12"/>
        <v>106||M4</v>
      </c>
      <c r="T112">
        <f>IF(COUNTIF($S$2:S112, S112)=1, 1, 0)</f>
        <v>1</v>
      </c>
      <c r="U112" t="str">
        <f t="shared" si="13"/>
        <v>106||T1</v>
      </c>
      <c r="V112">
        <f>IF(COUNTIF($U$2:U112, U112)=1, 1, 0)</f>
        <v>1</v>
      </c>
      <c r="W112" t="s">
        <v>147</v>
      </c>
      <c r="X112" t="s">
        <v>335</v>
      </c>
      <c r="Y112" t="str">
        <f>_xlfn.XLOOKUP(X112, codes!A:A, codes!F:F, "")</f>
        <v>M4</v>
      </c>
      <c r="Z112" t="str">
        <f>_xlfn.XLOOKUP(Y112, 'sub-themes'!A:A, 'sub-themes'!H:H, "")</f>
        <v>T1</v>
      </c>
    </row>
    <row r="113" spans="1:26" x14ac:dyDescent="0.2">
      <c r="A113">
        <v>107</v>
      </c>
      <c r="B113">
        <v>168</v>
      </c>
      <c r="C113" t="s">
        <v>7</v>
      </c>
      <c r="D113">
        <v>2</v>
      </c>
      <c r="E113">
        <v>1</v>
      </c>
      <c r="F113" t="s">
        <v>8</v>
      </c>
      <c r="G113" t="s">
        <v>146</v>
      </c>
      <c r="H113" t="str">
        <f t="shared" si="14"/>
        <v>shuttleai/shuttle-3-diffusion</v>
      </c>
      <c r="I113" t="str">
        <f t="shared" si="17"/>
        <v>168||['add']||shuttleai/shuttle-3-diffusion</v>
      </c>
      <c r="J113">
        <f>IF(COUNTIF($I$2:I113, I113)=1, 1, 0)</f>
        <v>0</v>
      </c>
      <c r="K113" t="str">
        <f t="shared" si="10"/>
        <v>168||['add']||shuttleai/shuttle-3-diffusion||C31</v>
      </c>
      <c r="L113">
        <f>IF(COUNTIF($K$2:K113, K113)=1, 1, 0)</f>
        <v>0</v>
      </c>
      <c r="M113" t="str">
        <f t="shared" si="15"/>
        <v>168||['add']||shuttleai/shuttle-3-diffusion||M4</v>
      </c>
      <c r="N113">
        <f>IF(COUNTIF($M$2:M113, M113)=1, 1, 0)</f>
        <v>0</v>
      </c>
      <c r="O113" t="str">
        <f t="shared" si="16"/>
        <v>168||['add']||shuttleai/shuttle-3-diffusion||T1</v>
      </c>
      <c r="P113">
        <f>IF(COUNTIF($O$2:O113, O113)=1, 1, 0)</f>
        <v>0</v>
      </c>
      <c r="Q113" t="str">
        <f t="shared" si="11"/>
        <v>107||C31</v>
      </c>
      <c r="R113">
        <f>IF(COUNTIF($Q$2:Q113, Q113)=1, 1, 0)</f>
        <v>1</v>
      </c>
      <c r="S113" t="str">
        <f t="shared" si="12"/>
        <v>107||M4</v>
      </c>
      <c r="T113">
        <f>IF(COUNTIF($S$2:S113, S113)=1, 1, 0)</f>
        <v>1</v>
      </c>
      <c r="U113" t="str">
        <f t="shared" si="13"/>
        <v>107||T1</v>
      </c>
      <c r="V113">
        <f>IF(COUNTIF($U$2:U113, U113)=1, 1, 0)</f>
        <v>1</v>
      </c>
      <c r="W113" t="s">
        <v>148</v>
      </c>
      <c r="X113" t="s">
        <v>335</v>
      </c>
      <c r="Y113" t="str">
        <f>_xlfn.XLOOKUP(X113, codes!A:A, codes!F:F, "")</f>
        <v>M4</v>
      </c>
      <c r="Z113" t="str">
        <f>_xlfn.XLOOKUP(Y113, 'sub-themes'!A:A, 'sub-themes'!H:H, "")</f>
        <v>T1</v>
      </c>
    </row>
    <row r="114" spans="1:26" x14ac:dyDescent="0.2">
      <c r="A114">
        <v>108</v>
      </c>
      <c r="B114">
        <v>168</v>
      </c>
      <c r="C114" t="s">
        <v>19</v>
      </c>
      <c r="D114">
        <v>2</v>
      </c>
      <c r="E114">
        <v>1</v>
      </c>
      <c r="F114" t="s">
        <v>8</v>
      </c>
      <c r="G114" t="s">
        <v>146</v>
      </c>
      <c r="H114" t="str">
        <f t="shared" si="14"/>
        <v>shuttleai/shuttle-3-diffusion</v>
      </c>
      <c r="I114" t="str">
        <f t="shared" si="17"/>
        <v>168||['add']||shuttleai/shuttle-3-diffusion</v>
      </c>
      <c r="J114">
        <f>IF(COUNTIF($I$2:I114, I114)=1, 1, 0)</f>
        <v>0</v>
      </c>
      <c r="K114" t="str">
        <f t="shared" si="10"/>
        <v>168||['add']||shuttleai/shuttle-3-diffusion||C31</v>
      </c>
      <c r="L114">
        <f>IF(COUNTIF($K$2:K114, K114)=1, 1, 0)</f>
        <v>0</v>
      </c>
      <c r="M114" t="str">
        <f t="shared" si="15"/>
        <v>168||['add']||shuttleai/shuttle-3-diffusion||M4</v>
      </c>
      <c r="N114">
        <f>IF(COUNTIF($M$2:M114, M114)=1, 1, 0)</f>
        <v>0</v>
      </c>
      <c r="O114" t="str">
        <f t="shared" si="16"/>
        <v>168||['add']||shuttleai/shuttle-3-diffusion||T1</v>
      </c>
      <c r="P114">
        <f>IF(COUNTIF($O$2:O114, O114)=1, 1, 0)</f>
        <v>0</v>
      </c>
      <c r="Q114" t="str">
        <f t="shared" si="11"/>
        <v>108||C31</v>
      </c>
      <c r="R114">
        <f>IF(COUNTIF($Q$2:Q114, Q114)=1, 1, 0)</f>
        <v>1</v>
      </c>
      <c r="S114" t="str">
        <f t="shared" si="12"/>
        <v>108||M4</v>
      </c>
      <c r="T114">
        <f>IF(COUNTIF($S$2:S114, S114)=1, 1, 0)</f>
        <v>1</v>
      </c>
      <c r="U114" t="str">
        <f t="shared" si="13"/>
        <v>108||T1</v>
      </c>
      <c r="V114">
        <f>IF(COUNTIF($U$2:U114, U114)=1, 1, 0)</f>
        <v>1</v>
      </c>
      <c r="W114" t="s">
        <v>149</v>
      </c>
      <c r="X114" t="s">
        <v>335</v>
      </c>
      <c r="Y114" t="str">
        <f>_xlfn.XLOOKUP(X114, codes!A:A, codes!F:F, "")</f>
        <v>M4</v>
      </c>
      <c r="Z114" t="str">
        <f>_xlfn.XLOOKUP(Y114, 'sub-themes'!A:A, 'sub-themes'!H:H, "")</f>
        <v>T1</v>
      </c>
    </row>
    <row r="115" spans="1:26" x14ac:dyDescent="0.2">
      <c r="A115">
        <v>106</v>
      </c>
      <c r="B115">
        <v>169</v>
      </c>
      <c r="C115" t="s">
        <v>15</v>
      </c>
      <c r="D115">
        <v>2</v>
      </c>
      <c r="E115">
        <v>1</v>
      </c>
      <c r="F115" t="s">
        <v>8</v>
      </c>
      <c r="G115" t="s">
        <v>150</v>
      </c>
      <c r="H115" t="str">
        <f t="shared" si="14"/>
        <v>apple/aimv2-large-patch14-224-lit</v>
      </c>
      <c r="I115" t="str">
        <f t="shared" si="17"/>
        <v>169||['add']||apple/aimv2-large-patch14-224-lit</v>
      </c>
      <c r="J115">
        <f>IF(COUNTIF($I$2:I115, I115)=1, 1, 0)</f>
        <v>1</v>
      </c>
      <c r="K115" t="str">
        <f t="shared" si="10"/>
        <v>169||['add']||apple/aimv2-large-patch14-224-lit||C36</v>
      </c>
      <c r="L115">
        <f>IF(COUNTIF($K$2:K115, K115)=1, 1, 0)</f>
        <v>1</v>
      </c>
      <c r="M115" t="str">
        <f t="shared" si="15"/>
        <v>169||['add']||apple/aimv2-large-patch14-224-lit||M4</v>
      </c>
      <c r="N115">
        <f>IF(COUNTIF($M$2:M115, M115)=1, 1, 0)</f>
        <v>1</v>
      </c>
      <c r="O115" t="str">
        <f t="shared" si="16"/>
        <v>169||['add']||apple/aimv2-large-patch14-224-lit||T1</v>
      </c>
      <c r="P115">
        <f>IF(COUNTIF($O$2:O115, O115)=1, 1, 0)</f>
        <v>1</v>
      </c>
      <c r="Q115" t="str">
        <f t="shared" si="11"/>
        <v>106||C36</v>
      </c>
      <c r="R115">
        <f>IF(COUNTIF($Q$2:Q115, Q115)=1, 1, 0)</f>
        <v>1</v>
      </c>
      <c r="S115" t="str">
        <f t="shared" si="12"/>
        <v>106||M4</v>
      </c>
      <c r="T115">
        <f>IF(COUNTIF($S$2:S115, S115)=1, 1, 0)</f>
        <v>0</v>
      </c>
      <c r="U115" t="str">
        <f t="shared" si="13"/>
        <v>106||T1</v>
      </c>
      <c r="V115">
        <f>IF(COUNTIF($U$2:U115, U115)=1, 1, 0)</f>
        <v>0</v>
      </c>
      <c r="W115" t="s">
        <v>151</v>
      </c>
      <c r="X115" t="s">
        <v>344</v>
      </c>
      <c r="Y115" t="str">
        <f>_xlfn.XLOOKUP(X115, codes!A:A, codes!F:F, "")</f>
        <v>M4</v>
      </c>
      <c r="Z115" t="str">
        <f>_xlfn.XLOOKUP(Y115, 'sub-themes'!A:A, 'sub-themes'!H:H, "")</f>
        <v>T1</v>
      </c>
    </row>
    <row r="116" spans="1:26" x14ac:dyDescent="0.2">
      <c r="A116">
        <v>109</v>
      </c>
      <c r="B116">
        <v>169</v>
      </c>
      <c r="C116" t="s">
        <v>7</v>
      </c>
      <c r="D116">
        <v>2</v>
      </c>
      <c r="E116">
        <v>1</v>
      </c>
      <c r="F116" t="s">
        <v>8</v>
      </c>
      <c r="G116" t="s">
        <v>150</v>
      </c>
      <c r="H116" t="str">
        <f t="shared" si="14"/>
        <v>apple/aimv2-large-patch14-224-lit</v>
      </c>
      <c r="I116" t="str">
        <f t="shared" si="17"/>
        <v>169||['add']||apple/aimv2-large-patch14-224-lit</v>
      </c>
      <c r="J116">
        <f>IF(COUNTIF($I$2:I116, I116)=1, 1, 0)</f>
        <v>0</v>
      </c>
      <c r="K116" t="str">
        <f t="shared" si="10"/>
        <v>169||['add']||apple/aimv2-large-patch14-224-lit||C36</v>
      </c>
      <c r="L116">
        <f>IF(COUNTIF($K$2:K116, K116)=1, 1, 0)</f>
        <v>0</v>
      </c>
      <c r="M116" t="str">
        <f t="shared" si="15"/>
        <v>169||['add']||apple/aimv2-large-patch14-224-lit||M4</v>
      </c>
      <c r="N116">
        <f>IF(COUNTIF($M$2:M116, M116)=1, 1, 0)</f>
        <v>0</v>
      </c>
      <c r="O116" t="str">
        <f t="shared" si="16"/>
        <v>169||['add']||apple/aimv2-large-patch14-224-lit||T1</v>
      </c>
      <c r="P116">
        <f>IF(COUNTIF($O$2:O116, O116)=1, 1, 0)</f>
        <v>0</v>
      </c>
      <c r="Q116" t="str">
        <f t="shared" si="11"/>
        <v>109||C36</v>
      </c>
      <c r="R116">
        <f>IF(COUNTIF($Q$2:Q116, Q116)=1, 1, 0)</f>
        <v>1</v>
      </c>
      <c r="S116" t="str">
        <f t="shared" si="12"/>
        <v>109||M4</v>
      </c>
      <c r="T116">
        <f>IF(COUNTIF($S$2:S116, S116)=1, 1, 0)</f>
        <v>1</v>
      </c>
      <c r="U116" t="str">
        <f t="shared" si="13"/>
        <v>109||T1</v>
      </c>
      <c r="V116">
        <f>IF(COUNTIF($U$2:U116, U116)=1, 1, 0)</f>
        <v>1</v>
      </c>
      <c r="W116" t="s">
        <v>152</v>
      </c>
      <c r="X116" t="s">
        <v>344</v>
      </c>
      <c r="Y116" t="str">
        <f>_xlfn.XLOOKUP(X116, codes!A:A, codes!F:F, "")</f>
        <v>M4</v>
      </c>
      <c r="Z116" t="str">
        <f>_xlfn.XLOOKUP(Y116, 'sub-themes'!A:A, 'sub-themes'!H:H, "")</f>
        <v>T1</v>
      </c>
    </row>
    <row r="117" spans="1:26" x14ac:dyDescent="0.2">
      <c r="A117">
        <v>110</v>
      </c>
      <c r="B117">
        <v>169</v>
      </c>
      <c r="C117" t="s">
        <v>19</v>
      </c>
      <c r="D117">
        <v>2</v>
      </c>
      <c r="E117">
        <v>1</v>
      </c>
      <c r="F117" t="s">
        <v>8</v>
      </c>
      <c r="G117" t="s">
        <v>150</v>
      </c>
      <c r="H117" t="str">
        <f t="shared" si="14"/>
        <v>apple/aimv2-large-patch14-224-lit</v>
      </c>
      <c r="I117" t="str">
        <f t="shared" si="17"/>
        <v>169||['add']||apple/aimv2-large-patch14-224-lit</v>
      </c>
      <c r="J117">
        <f>IF(COUNTIF($I$2:I117, I117)=1, 1, 0)</f>
        <v>0</v>
      </c>
      <c r="K117" t="str">
        <f t="shared" si="10"/>
        <v>169||['add']||apple/aimv2-large-patch14-224-lit||C36</v>
      </c>
      <c r="L117">
        <f>IF(COUNTIF($K$2:K117, K117)=1, 1, 0)</f>
        <v>0</v>
      </c>
      <c r="M117" t="str">
        <f t="shared" si="15"/>
        <v>169||['add']||apple/aimv2-large-patch14-224-lit||M4</v>
      </c>
      <c r="N117">
        <f>IF(COUNTIF($M$2:M117, M117)=1, 1, 0)</f>
        <v>0</v>
      </c>
      <c r="O117" t="str">
        <f t="shared" si="16"/>
        <v>169||['add']||apple/aimv2-large-patch14-224-lit||T1</v>
      </c>
      <c r="P117">
        <f>IF(COUNTIF($O$2:O117, O117)=1, 1, 0)</f>
        <v>0</v>
      </c>
      <c r="Q117" t="str">
        <f t="shared" si="11"/>
        <v>110||C36</v>
      </c>
      <c r="R117">
        <f>IF(COUNTIF($Q$2:Q117, Q117)=1, 1, 0)</f>
        <v>1</v>
      </c>
      <c r="S117" t="str">
        <f t="shared" si="12"/>
        <v>110||M4</v>
      </c>
      <c r="T117">
        <f>IF(COUNTIF($S$2:S117, S117)=1, 1, 0)</f>
        <v>1</v>
      </c>
      <c r="U117" t="str">
        <f t="shared" si="13"/>
        <v>110||T1</v>
      </c>
      <c r="V117">
        <f>IF(COUNTIF($U$2:U117, U117)=1, 1, 0)</f>
        <v>1</v>
      </c>
      <c r="W117" t="s">
        <v>153</v>
      </c>
      <c r="X117" t="s">
        <v>344</v>
      </c>
      <c r="Y117" t="str">
        <f>_xlfn.XLOOKUP(X117, codes!A:A, codes!F:F, "")</f>
        <v>M4</v>
      </c>
      <c r="Z117" t="str">
        <f>_xlfn.XLOOKUP(Y117, 'sub-themes'!A:A, 'sub-themes'!H:H, "")</f>
        <v>T1</v>
      </c>
    </row>
    <row r="118" spans="1:26" x14ac:dyDescent="0.2">
      <c r="A118">
        <v>111</v>
      </c>
      <c r="B118">
        <v>170</v>
      </c>
      <c r="C118" t="s">
        <v>7</v>
      </c>
      <c r="D118">
        <v>1</v>
      </c>
      <c r="E118">
        <v>1</v>
      </c>
      <c r="F118" t="s">
        <v>8</v>
      </c>
      <c r="G118" t="s">
        <v>43</v>
      </c>
      <c r="H118" t="str">
        <f t="shared" si="14"/>
        <v>spacy/en_core_web_sm</v>
      </c>
      <c r="I118" t="str">
        <f t="shared" si="17"/>
        <v>170||['add']||spacy/en_core_web_sm</v>
      </c>
      <c r="J118">
        <f>IF(COUNTIF($I$2:I118, I118)=1, 1, 0)</f>
        <v>1</v>
      </c>
      <c r="K118" t="str">
        <f t="shared" si="10"/>
        <v>170||['add']||spacy/en_core_web_sm||C33</v>
      </c>
      <c r="L118">
        <f>IF(COUNTIF($K$2:K118, K118)=1, 1, 0)</f>
        <v>1</v>
      </c>
      <c r="M118" t="str">
        <f t="shared" si="15"/>
        <v>170||['add']||spacy/en_core_web_sm||M1</v>
      </c>
      <c r="N118">
        <f>IF(COUNTIF($M$2:M118, M118)=1, 1, 0)</f>
        <v>1</v>
      </c>
      <c r="O118" t="str">
        <f t="shared" si="16"/>
        <v>170||['add']||spacy/en_core_web_sm||T1</v>
      </c>
      <c r="P118">
        <f>IF(COUNTIF($O$2:O118, O118)=1, 1, 0)</f>
        <v>1</v>
      </c>
      <c r="Q118" t="str">
        <f t="shared" si="11"/>
        <v>111||C33</v>
      </c>
      <c r="R118">
        <f>IF(COUNTIF($Q$2:Q118, Q118)=1, 1, 0)</f>
        <v>1</v>
      </c>
      <c r="S118" t="str">
        <f t="shared" si="12"/>
        <v>111||M1</v>
      </c>
      <c r="T118">
        <f>IF(COUNTIF($S$2:S118, S118)=1, 1, 0)</f>
        <v>1</v>
      </c>
      <c r="U118" t="str">
        <f t="shared" si="13"/>
        <v>111||T1</v>
      </c>
      <c r="V118">
        <f>IF(COUNTIF($U$2:U118, U118)=1, 1, 0)</f>
        <v>1</v>
      </c>
      <c r="W118" t="s">
        <v>154</v>
      </c>
      <c r="X118" t="s">
        <v>339</v>
      </c>
      <c r="Y118" t="str">
        <f>_xlfn.XLOOKUP(X118, codes!A:A, codes!F:F, "")</f>
        <v>M1</v>
      </c>
      <c r="Z118" t="str">
        <f>_xlfn.XLOOKUP(Y118, 'sub-themes'!A:A, 'sub-themes'!H:H, "")</f>
        <v>T1</v>
      </c>
    </row>
    <row r="119" spans="1:26" x14ac:dyDescent="0.2">
      <c r="A119">
        <v>112</v>
      </c>
      <c r="B119">
        <v>176</v>
      </c>
      <c r="C119" t="s">
        <v>7</v>
      </c>
      <c r="D119">
        <v>7</v>
      </c>
      <c r="E119">
        <v>6</v>
      </c>
      <c r="F119" t="s">
        <v>27</v>
      </c>
      <c r="G119" t="s">
        <v>155</v>
      </c>
      <c r="H119" t="str">
        <f t="shared" si="14"/>
        <v>thudm/chatglm3-6b|thudm/glm-4-9b-chat|deepseek-ai/deepseek-v2-lite|deepseek-ai/deepseek-coder-1.3b-instruct|thudm/codegeex4-all-9b|opengvlab/mini-internvl-chat-4b-v1-5</v>
      </c>
      <c r="I119" t="str">
        <f t="shared" si="17"/>
        <v>176||['remove']||thudm/chatglm3-6b|thudm/glm-4-9b-chat|deepseek-ai/deepseek-v2-lite|deepseek-ai/deepseek-coder-1.3b-instruct|thudm/codegeex4-all-9b|opengvlab/mini-internvl-chat-4b-v1-5</v>
      </c>
      <c r="J119">
        <f>IF(COUNTIF($I$2:I119, I119)=1, 1, 0)</f>
        <v>1</v>
      </c>
      <c r="K119" t="str">
        <f t="shared" si="10"/>
        <v>176||['remove']||thudm/chatglm3-6b|thudm/glm-4-9b-chat|deepseek-ai/deepseek-v2-lite|deepseek-ai/deepseek-coder-1.3b-instruct|thudm/codegeex4-all-9b|opengvlab/mini-internvl-chat-4b-v1-5||C37</v>
      </c>
      <c r="L119">
        <f>IF(COUNTIF($K$2:K119, K119)=1, 1, 0)</f>
        <v>1</v>
      </c>
      <c r="M119" t="str">
        <f t="shared" si="15"/>
        <v>176||['remove']||thudm/chatglm3-6b|thudm/glm-4-9b-chat|deepseek-ai/deepseek-v2-lite|deepseek-ai/deepseek-coder-1.3b-instruct|thudm/codegeex4-all-9b|opengvlab/mini-internvl-chat-4b-v1-5||M37</v>
      </c>
      <c r="N119">
        <f>IF(COUNTIF($M$2:M119, M119)=1, 1, 0)</f>
        <v>1</v>
      </c>
      <c r="O119" t="str">
        <f t="shared" si="16"/>
        <v>176||['remove']||thudm/chatglm3-6b|thudm/glm-4-9b-chat|deepseek-ai/deepseek-v2-lite|deepseek-ai/deepseek-coder-1.3b-instruct|thudm/codegeex4-all-9b|opengvlab/mini-internvl-chat-4b-v1-5||T4</v>
      </c>
      <c r="P119">
        <f>IF(COUNTIF($O$2:O119, O119)=1, 1, 0)</f>
        <v>1</v>
      </c>
      <c r="Q119" t="str">
        <f t="shared" si="11"/>
        <v>112||C37</v>
      </c>
      <c r="R119">
        <f>IF(COUNTIF($Q$2:Q119, Q119)=1, 1, 0)</f>
        <v>1</v>
      </c>
      <c r="S119" t="str">
        <f t="shared" si="12"/>
        <v>112||M37</v>
      </c>
      <c r="T119">
        <f>IF(COUNTIF($S$2:S119, S119)=1, 1, 0)</f>
        <v>1</v>
      </c>
      <c r="U119" t="str">
        <f t="shared" si="13"/>
        <v>112||T4</v>
      </c>
      <c r="V119">
        <f>IF(COUNTIF($U$2:U119, U119)=1, 1, 0)</f>
        <v>1</v>
      </c>
      <c r="W119" t="s">
        <v>222</v>
      </c>
      <c r="X119" t="s">
        <v>346</v>
      </c>
      <c r="Y119" t="str">
        <f>_xlfn.XLOOKUP(X119, codes!A:A, codes!F:F, "")</f>
        <v>M37</v>
      </c>
      <c r="Z119" t="str">
        <f>_xlfn.XLOOKUP(Y119, 'sub-themes'!A:A, 'sub-themes'!H:H, "")</f>
        <v>T4</v>
      </c>
    </row>
    <row r="120" spans="1:26" x14ac:dyDescent="0.2">
      <c r="A120">
        <v>113</v>
      </c>
      <c r="B120">
        <v>179</v>
      </c>
      <c r="C120" t="s">
        <v>7</v>
      </c>
      <c r="D120">
        <v>28</v>
      </c>
      <c r="E120">
        <v>5</v>
      </c>
      <c r="F120" t="s">
        <v>8</v>
      </c>
      <c r="G120" t="s">
        <v>156</v>
      </c>
      <c r="H120" t="str">
        <f t="shared" si="14"/>
        <v>trl-internal-testing/tiny-qwen2forcausallm-2.5|trl-internal-testing/tiny-t5forconditionalgeneration|trl-internal-testing/tiny-bartmodel|trl-internal-testing/tiny-mistralforcausallm-0.1|trl-internal-testing/tiny-llavaforconditionalgeneration</v>
      </c>
      <c r="I120" t="str">
        <f>B120 &amp; "||" &amp; F120</f>
        <v>179||['add']</v>
      </c>
      <c r="J120">
        <f>IF(COUNTIF($I$2:I120, I120)=1, 1, 0)</f>
        <v>1</v>
      </c>
      <c r="K120" t="str">
        <f t="shared" si="10"/>
        <v>179||['add']||C62</v>
      </c>
      <c r="L120">
        <f>IF(COUNTIF($K$2:K120, K120)=1, 1, 0)</f>
        <v>1</v>
      </c>
      <c r="M120" t="str">
        <f t="shared" si="15"/>
        <v>179||['add']||M11</v>
      </c>
      <c r="N120">
        <f>IF(COUNTIF($M$2:M120, M120)=1, 1, 0)</f>
        <v>1</v>
      </c>
      <c r="O120" t="str">
        <f t="shared" si="16"/>
        <v>179||['add']||T3</v>
      </c>
      <c r="P120">
        <f>IF(COUNTIF($O$2:O120, O120)=1, 1, 0)</f>
        <v>1</v>
      </c>
      <c r="Q120" t="str">
        <f t="shared" si="11"/>
        <v>113||C62</v>
      </c>
      <c r="R120">
        <f>IF(COUNTIF($Q$2:Q120, Q120)=1, 1, 0)</f>
        <v>1</v>
      </c>
      <c r="S120" t="str">
        <f t="shared" si="12"/>
        <v>113||M11</v>
      </c>
      <c r="T120">
        <f>IF(COUNTIF($S$2:S120, S120)=1, 1, 0)</f>
        <v>1</v>
      </c>
      <c r="U120" t="str">
        <f t="shared" si="13"/>
        <v>113||T3</v>
      </c>
      <c r="V120">
        <f>IF(COUNTIF($U$2:U120, U120)=1, 1, 0)</f>
        <v>1</v>
      </c>
      <c r="W120" t="s">
        <v>223</v>
      </c>
      <c r="X120" t="s">
        <v>425</v>
      </c>
      <c r="Y120" t="str">
        <f>_xlfn.XLOOKUP(X120, codes!A:A, codes!F:F, "")</f>
        <v>M11</v>
      </c>
      <c r="Z120" t="str">
        <f>_xlfn.XLOOKUP(Y120, 'sub-themes'!A:A, 'sub-themes'!H:H, "")</f>
        <v>T3</v>
      </c>
    </row>
    <row r="121" spans="1:26" x14ac:dyDescent="0.2">
      <c r="A121">
        <v>114</v>
      </c>
      <c r="B121">
        <v>179</v>
      </c>
      <c r="C121" t="s">
        <v>19</v>
      </c>
      <c r="D121">
        <v>8</v>
      </c>
      <c r="E121">
        <v>1</v>
      </c>
      <c r="F121" t="s">
        <v>29</v>
      </c>
      <c r="G121" t="s">
        <v>158</v>
      </c>
      <c r="H121" t="str">
        <f t="shared" si="14"/>
        <v>trl-internal-testing/tiny-qwen2forcausallm-2.5</v>
      </c>
      <c r="I121" t="str">
        <f t="shared" ref="I121:I152" si="18">B121 &amp; "||" &amp; F121 &amp; "||" &amp; H121</f>
        <v>179||['migrate']||trl-internal-testing/tiny-qwen2forcausallm-2.5</v>
      </c>
      <c r="J121">
        <f>IF(COUNTIF($I$2:I121, I121)=1, 1, 0)</f>
        <v>1</v>
      </c>
      <c r="K121" t="str">
        <f t="shared" si="10"/>
        <v>179||['migrate']||trl-internal-testing/tiny-qwen2forcausallm-2.5||C6</v>
      </c>
      <c r="L121">
        <f>IF(COUNTIF($K$2:K121, K121)=1, 1, 0)</f>
        <v>1</v>
      </c>
      <c r="M121" t="str">
        <f t="shared" si="15"/>
        <v>179||['migrate']||trl-internal-testing/tiny-qwen2forcausallm-2.5||M6</v>
      </c>
      <c r="N121">
        <f>IF(COUNTIF($M$2:M121, M121)=1, 1, 0)</f>
        <v>1</v>
      </c>
      <c r="O121" t="str">
        <f t="shared" si="16"/>
        <v>179||['migrate']||trl-internal-testing/tiny-qwen2forcausallm-2.5||T4</v>
      </c>
      <c r="P121">
        <f>IF(COUNTIF($O$2:O121, O121)=1, 1, 0)</f>
        <v>1</v>
      </c>
      <c r="Q121" t="str">
        <f t="shared" si="11"/>
        <v>114||C6</v>
      </c>
      <c r="R121">
        <f>IF(COUNTIF($Q$2:Q121, Q121)=1, 1, 0)</f>
        <v>1</v>
      </c>
      <c r="S121" t="str">
        <f t="shared" si="12"/>
        <v>114||M6</v>
      </c>
      <c r="T121">
        <f>IF(COUNTIF($S$2:S121, S121)=1, 1, 0)</f>
        <v>1</v>
      </c>
      <c r="U121" t="str">
        <f t="shared" si="13"/>
        <v>114||T4</v>
      </c>
      <c r="V121">
        <f>IF(COUNTIF($U$2:U121, U121)=1, 1, 0)</f>
        <v>1</v>
      </c>
      <c r="W121" t="s">
        <v>224</v>
      </c>
      <c r="X121" t="s">
        <v>292</v>
      </c>
      <c r="Y121" t="str">
        <f>_xlfn.XLOOKUP(X121, codes!A:A, codes!F:F, "")</f>
        <v>M6</v>
      </c>
      <c r="Z121" t="str">
        <f>_xlfn.XLOOKUP(Y121, 'sub-themes'!A:A, 'sub-themes'!H:H, "")</f>
        <v>T4</v>
      </c>
    </row>
    <row r="122" spans="1:26" x14ac:dyDescent="0.2">
      <c r="A122">
        <v>114</v>
      </c>
      <c r="B122">
        <v>179</v>
      </c>
      <c r="C122" t="s">
        <v>19</v>
      </c>
      <c r="D122">
        <v>8</v>
      </c>
      <c r="E122">
        <v>1</v>
      </c>
      <c r="F122" t="s">
        <v>29</v>
      </c>
      <c r="G122" t="s">
        <v>158</v>
      </c>
      <c r="H122" t="str">
        <f t="shared" si="14"/>
        <v>trl-internal-testing/tiny-qwen2forcausallm-2.5</v>
      </c>
      <c r="I122" t="str">
        <f t="shared" si="18"/>
        <v>179||['migrate']||trl-internal-testing/tiny-qwen2forcausallm-2.5</v>
      </c>
      <c r="J122">
        <f>IF(COUNTIF($I$2:I122, I122)=1, 1, 0)</f>
        <v>0</v>
      </c>
      <c r="K122" t="str">
        <f t="shared" si="10"/>
        <v>179||['migrate']||trl-internal-testing/tiny-qwen2forcausallm-2.5||C59</v>
      </c>
      <c r="L122">
        <f>IF(COUNTIF($K$2:K122, K122)=1, 1, 0)</f>
        <v>1</v>
      </c>
      <c r="M122" t="str">
        <f t="shared" si="15"/>
        <v>179||['migrate']||trl-internal-testing/tiny-qwen2forcausallm-2.5||M22</v>
      </c>
      <c r="N122">
        <f>IF(COUNTIF($M$2:M122, M122)=1, 1, 0)</f>
        <v>1</v>
      </c>
      <c r="O122" t="str">
        <f t="shared" si="16"/>
        <v>179||['migrate']||trl-internal-testing/tiny-qwen2forcausallm-2.5||T5</v>
      </c>
      <c r="P122">
        <f>IF(COUNTIF($O$2:O122, O122)=1, 1, 0)</f>
        <v>1</v>
      </c>
      <c r="Q122" t="str">
        <f t="shared" si="11"/>
        <v>114||C59</v>
      </c>
      <c r="R122">
        <f>IF(COUNTIF($Q$2:Q122, Q122)=1, 1, 0)</f>
        <v>1</v>
      </c>
      <c r="S122" t="str">
        <f t="shared" si="12"/>
        <v>114||M22</v>
      </c>
      <c r="T122">
        <f>IF(COUNTIF($S$2:S122, S122)=1, 1, 0)</f>
        <v>1</v>
      </c>
      <c r="U122" t="str">
        <f t="shared" si="13"/>
        <v>114||T5</v>
      </c>
      <c r="V122">
        <f>IF(COUNTIF($U$2:U122, U122)=1, 1, 0)</f>
        <v>1</v>
      </c>
      <c r="W122" t="s">
        <v>225</v>
      </c>
      <c r="X122" t="s">
        <v>417</v>
      </c>
      <c r="Y122" t="str">
        <f>_xlfn.XLOOKUP(X122, codes!A:A, codes!F:F, "")</f>
        <v>M22</v>
      </c>
      <c r="Z122" t="str">
        <f>_xlfn.XLOOKUP(Y122, 'sub-themes'!A:A, 'sub-themes'!H:H, "")</f>
        <v>T5</v>
      </c>
    </row>
    <row r="123" spans="1:26" x14ac:dyDescent="0.2">
      <c r="A123">
        <v>115</v>
      </c>
      <c r="B123">
        <v>180</v>
      </c>
      <c r="C123" t="s">
        <v>47</v>
      </c>
      <c r="D123">
        <v>1</v>
      </c>
      <c r="E123">
        <v>1</v>
      </c>
      <c r="F123" t="s">
        <v>8</v>
      </c>
      <c r="G123" t="s">
        <v>157</v>
      </c>
      <c r="H123" t="str">
        <f t="shared" si="14"/>
        <v>qwen/qwen2.5-32b-instruct</v>
      </c>
      <c r="I123" t="str">
        <f t="shared" si="18"/>
        <v>180||['add']||qwen/qwen2.5-32b-instruct</v>
      </c>
      <c r="J123">
        <f>IF(COUNTIF($I$2:I123, I123)=1, 1, 0)</f>
        <v>1</v>
      </c>
      <c r="K123" t="str">
        <f t="shared" si="10"/>
        <v>180||['add']||qwen/qwen2.5-32b-instruct||C38</v>
      </c>
      <c r="L123">
        <f>IF(COUNTIF($K$2:K123, K123)=1, 1, 0)</f>
        <v>1</v>
      </c>
      <c r="M123" t="str">
        <f t="shared" si="15"/>
        <v>180||['add']||qwen/qwen2.5-32b-instruct||M6</v>
      </c>
      <c r="N123">
        <f>IF(COUNTIF($M$2:M123, M123)=1, 1, 0)</f>
        <v>1</v>
      </c>
      <c r="O123" t="str">
        <f t="shared" si="16"/>
        <v>180||['add']||qwen/qwen2.5-32b-instruct||T4</v>
      </c>
      <c r="P123">
        <f>IF(COUNTIF($O$2:O123, O123)=1, 1, 0)</f>
        <v>1</v>
      </c>
      <c r="Q123" t="str">
        <f t="shared" si="11"/>
        <v>115||C38</v>
      </c>
      <c r="R123">
        <f>IF(COUNTIF($Q$2:Q123, Q123)=1, 1, 0)</f>
        <v>1</v>
      </c>
      <c r="S123" t="str">
        <f t="shared" si="12"/>
        <v>115||M6</v>
      </c>
      <c r="T123">
        <f>IF(COUNTIF($S$2:S123, S123)=1, 1, 0)</f>
        <v>1</v>
      </c>
      <c r="U123" t="str">
        <f t="shared" si="13"/>
        <v>115||T4</v>
      </c>
      <c r="V123">
        <f>IF(COUNTIF($U$2:U123, U123)=1, 1, 0)</f>
        <v>1</v>
      </c>
      <c r="W123" t="s">
        <v>226</v>
      </c>
      <c r="X123" t="s">
        <v>347</v>
      </c>
      <c r="Y123" t="str">
        <f>_xlfn.XLOOKUP(X123, codes!A:A, codes!F:F, "")</f>
        <v>M6</v>
      </c>
      <c r="Z123" t="str">
        <f>_xlfn.XLOOKUP(Y123, 'sub-themes'!A:A, 'sub-themes'!H:H, "")</f>
        <v>T4</v>
      </c>
    </row>
    <row r="124" spans="1:26" x14ac:dyDescent="0.2">
      <c r="A124">
        <v>116</v>
      </c>
      <c r="B124">
        <v>182</v>
      </c>
      <c r="C124" t="s">
        <v>15</v>
      </c>
      <c r="D124">
        <v>2</v>
      </c>
      <c r="E124">
        <v>1</v>
      </c>
      <c r="F124" t="s">
        <v>27</v>
      </c>
      <c r="G124" t="s">
        <v>158</v>
      </c>
      <c r="H124" t="str">
        <f t="shared" si="14"/>
        <v>trl-internal-testing/tiny-qwen2forcausallm-2.5</v>
      </c>
      <c r="I124" t="str">
        <f t="shared" si="18"/>
        <v>182||['remove']||trl-internal-testing/tiny-qwen2forcausallm-2.5</v>
      </c>
      <c r="J124">
        <f>IF(COUNTIF($I$2:I124, I124)=1, 1, 0)</f>
        <v>1</v>
      </c>
      <c r="K124" t="str">
        <f t="shared" si="10"/>
        <v>182||['remove']||trl-internal-testing/tiny-qwen2forcausallm-2.5||C37</v>
      </c>
      <c r="L124">
        <f>IF(COUNTIF($K$2:K124, K124)=1, 1, 0)</f>
        <v>1</v>
      </c>
      <c r="M124" t="str">
        <f t="shared" si="15"/>
        <v>182||['remove']||trl-internal-testing/tiny-qwen2forcausallm-2.5||M37</v>
      </c>
      <c r="N124">
        <f>IF(COUNTIF($M$2:M124, M124)=1, 1, 0)</f>
        <v>1</v>
      </c>
      <c r="O124" t="str">
        <f t="shared" si="16"/>
        <v>182||['remove']||trl-internal-testing/tiny-qwen2forcausallm-2.5||T4</v>
      </c>
      <c r="P124">
        <f>IF(COUNTIF($O$2:O124, O124)=1, 1, 0)</f>
        <v>1</v>
      </c>
      <c r="Q124" t="str">
        <f t="shared" si="11"/>
        <v>116||C37</v>
      </c>
      <c r="R124">
        <f>IF(COUNTIF($Q$2:Q124, Q124)=1, 1, 0)</f>
        <v>1</v>
      </c>
      <c r="S124" t="str">
        <f t="shared" si="12"/>
        <v>116||M37</v>
      </c>
      <c r="T124">
        <f>IF(COUNTIF($S$2:S124, S124)=1, 1, 0)</f>
        <v>1</v>
      </c>
      <c r="U124" t="str">
        <f t="shared" si="13"/>
        <v>116||T4</v>
      </c>
      <c r="V124">
        <f>IF(COUNTIF($U$2:U124, U124)=1, 1, 0)</f>
        <v>1</v>
      </c>
      <c r="W124" t="s">
        <v>227</v>
      </c>
      <c r="X124" t="s">
        <v>346</v>
      </c>
      <c r="Y124" t="str">
        <f>_xlfn.XLOOKUP(X124, codes!A:A, codes!F:F, "")</f>
        <v>M37</v>
      </c>
      <c r="Z124" t="str">
        <f>_xlfn.XLOOKUP(Y124, 'sub-themes'!A:A, 'sub-themes'!H:H, "")</f>
        <v>T4</v>
      </c>
    </row>
    <row r="125" spans="1:26" x14ac:dyDescent="0.2">
      <c r="A125">
        <v>117</v>
      </c>
      <c r="B125">
        <v>182</v>
      </c>
      <c r="C125" t="s">
        <v>7</v>
      </c>
      <c r="D125">
        <v>2</v>
      </c>
      <c r="E125">
        <v>1</v>
      </c>
      <c r="F125" t="s">
        <v>27</v>
      </c>
      <c r="G125" t="s">
        <v>158</v>
      </c>
      <c r="H125" t="str">
        <f t="shared" si="14"/>
        <v>trl-internal-testing/tiny-qwen2forcausallm-2.5</v>
      </c>
      <c r="I125" t="str">
        <f t="shared" si="18"/>
        <v>182||['remove']||trl-internal-testing/tiny-qwen2forcausallm-2.5</v>
      </c>
      <c r="J125">
        <f>IF(COUNTIF($I$2:I125, I125)=1, 1, 0)</f>
        <v>0</v>
      </c>
      <c r="K125" t="str">
        <f t="shared" si="10"/>
        <v>182||['remove']||trl-internal-testing/tiny-qwen2forcausallm-2.5||C37</v>
      </c>
      <c r="L125">
        <f>IF(COUNTIF($K$2:K125, K125)=1, 1, 0)</f>
        <v>0</v>
      </c>
      <c r="M125" t="str">
        <f t="shared" si="15"/>
        <v>182||['remove']||trl-internal-testing/tiny-qwen2forcausallm-2.5||M37</v>
      </c>
      <c r="N125">
        <f>IF(COUNTIF($M$2:M125, M125)=1, 1, 0)</f>
        <v>0</v>
      </c>
      <c r="O125" t="str">
        <f t="shared" si="16"/>
        <v>182||['remove']||trl-internal-testing/tiny-qwen2forcausallm-2.5||T4</v>
      </c>
      <c r="P125">
        <f>IF(COUNTIF($O$2:O125, O125)=1, 1, 0)</f>
        <v>0</v>
      </c>
      <c r="Q125" t="str">
        <f t="shared" si="11"/>
        <v>117||C37</v>
      </c>
      <c r="R125">
        <f>IF(COUNTIF($Q$2:Q125, Q125)=1, 1, 0)</f>
        <v>1</v>
      </c>
      <c r="S125" t="str">
        <f t="shared" si="12"/>
        <v>117||M37</v>
      </c>
      <c r="T125">
        <f>IF(COUNTIF($S$2:S125, S125)=1, 1, 0)</f>
        <v>1</v>
      </c>
      <c r="U125" t="str">
        <f t="shared" si="13"/>
        <v>117||T4</v>
      </c>
      <c r="V125">
        <f>IF(COUNTIF($U$2:U125, U125)=1, 1, 0)</f>
        <v>1</v>
      </c>
      <c r="W125" t="s">
        <v>227</v>
      </c>
      <c r="X125" t="s">
        <v>346</v>
      </c>
      <c r="Y125" t="str">
        <f>_xlfn.XLOOKUP(X125, codes!A:A, codes!F:F, "")</f>
        <v>M37</v>
      </c>
      <c r="Z125" t="str">
        <f>_xlfn.XLOOKUP(Y125, 'sub-themes'!A:A, 'sub-themes'!H:H, "")</f>
        <v>T4</v>
      </c>
    </row>
    <row r="126" spans="1:26" x14ac:dyDescent="0.2">
      <c r="A126">
        <v>118</v>
      </c>
      <c r="B126">
        <v>182</v>
      </c>
      <c r="C126" t="s">
        <v>19</v>
      </c>
      <c r="D126">
        <v>2</v>
      </c>
      <c r="E126">
        <v>1</v>
      </c>
      <c r="F126" t="s">
        <v>27</v>
      </c>
      <c r="G126" t="s">
        <v>158</v>
      </c>
      <c r="H126" t="str">
        <f t="shared" si="14"/>
        <v>trl-internal-testing/tiny-qwen2forcausallm-2.5</v>
      </c>
      <c r="I126" t="str">
        <f t="shared" si="18"/>
        <v>182||['remove']||trl-internal-testing/tiny-qwen2forcausallm-2.5</v>
      </c>
      <c r="J126">
        <f>IF(COUNTIF($I$2:I126, I126)=1, 1, 0)</f>
        <v>0</v>
      </c>
      <c r="K126" t="str">
        <f t="shared" si="10"/>
        <v>182||['remove']||trl-internal-testing/tiny-qwen2forcausallm-2.5||C37</v>
      </c>
      <c r="L126">
        <f>IF(COUNTIF($K$2:K126, K126)=1, 1, 0)</f>
        <v>0</v>
      </c>
      <c r="M126" t="str">
        <f t="shared" si="15"/>
        <v>182||['remove']||trl-internal-testing/tiny-qwen2forcausallm-2.5||M37</v>
      </c>
      <c r="N126">
        <f>IF(COUNTIF($M$2:M126, M126)=1, 1, 0)</f>
        <v>0</v>
      </c>
      <c r="O126" t="str">
        <f t="shared" si="16"/>
        <v>182||['remove']||trl-internal-testing/tiny-qwen2forcausallm-2.5||T4</v>
      </c>
      <c r="P126">
        <f>IF(COUNTIF($O$2:O126, O126)=1, 1, 0)</f>
        <v>0</v>
      </c>
      <c r="Q126" t="str">
        <f t="shared" si="11"/>
        <v>118||C37</v>
      </c>
      <c r="R126">
        <f>IF(COUNTIF($Q$2:Q126, Q126)=1, 1, 0)</f>
        <v>1</v>
      </c>
      <c r="S126" t="str">
        <f t="shared" si="12"/>
        <v>118||M37</v>
      </c>
      <c r="T126">
        <f>IF(COUNTIF($S$2:S126, S126)=1, 1, 0)</f>
        <v>1</v>
      </c>
      <c r="U126" t="str">
        <f t="shared" si="13"/>
        <v>118||T4</v>
      </c>
      <c r="V126">
        <f>IF(COUNTIF($U$2:U126, U126)=1, 1, 0)</f>
        <v>1</v>
      </c>
      <c r="W126" t="s">
        <v>227</v>
      </c>
      <c r="X126" t="s">
        <v>346</v>
      </c>
      <c r="Y126" t="str">
        <f>_xlfn.XLOOKUP(X126, codes!A:A, codes!F:F, "")</f>
        <v>M37</v>
      </c>
      <c r="Z126" t="str">
        <f>_xlfn.XLOOKUP(Y126, 'sub-themes'!A:A, 'sub-themes'!H:H, "")</f>
        <v>T4</v>
      </c>
    </row>
    <row r="127" spans="1:26" x14ac:dyDescent="0.2">
      <c r="A127">
        <v>119</v>
      </c>
      <c r="B127">
        <v>183</v>
      </c>
      <c r="C127" t="s">
        <v>7</v>
      </c>
      <c r="D127">
        <v>2</v>
      </c>
      <c r="E127">
        <v>1</v>
      </c>
      <c r="F127" t="s">
        <v>8</v>
      </c>
      <c r="G127" t="s">
        <v>159</v>
      </c>
      <c r="H127" t="str">
        <f t="shared" si="14"/>
        <v>sentence-transformers/multi-qa-mpnet-base-cos-v1</v>
      </c>
      <c r="I127" t="str">
        <f t="shared" si="18"/>
        <v>183||['add']||sentence-transformers/multi-qa-mpnet-base-cos-v1</v>
      </c>
      <c r="J127">
        <f>IF(COUNTIF($I$2:I127, I127)=1, 1, 0)</f>
        <v>1</v>
      </c>
      <c r="K127" t="str">
        <f t="shared" si="10"/>
        <v>183||['add']||sentence-transformers/multi-qa-mpnet-base-cos-v1||C56</v>
      </c>
      <c r="L127">
        <f>IF(COUNTIF($K$2:K127, K127)=1, 1, 0)</f>
        <v>1</v>
      </c>
      <c r="M127" t="str">
        <f t="shared" si="15"/>
        <v>183||['add']||sentence-transformers/multi-qa-mpnet-base-cos-v1||M21</v>
      </c>
      <c r="N127">
        <f>IF(COUNTIF($M$2:M127, M127)=1, 1, 0)</f>
        <v>1</v>
      </c>
      <c r="O127" t="str">
        <f t="shared" si="16"/>
        <v>183||['add']||sentence-transformers/multi-qa-mpnet-base-cos-v1||T2</v>
      </c>
      <c r="P127">
        <f>IF(COUNTIF($O$2:O127, O127)=1, 1, 0)</f>
        <v>1</v>
      </c>
      <c r="Q127" t="str">
        <f t="shared" si="11"/>
        <v>119||C56</v>
      </c>
      <c r="R127">
        <f>IF(COUNTIF($Q$2:Q127, Q127)=1, 1, 0)</f>
        <v>1</v>
      </c>
      <c r="S127" t="str">
        <f t="shared" si="12"/>
        <v>119||M21</v>
      </c>
      <c r="T127">
        <f>IF(COUNTIF($S$2:S127, S127)=1, 1, 0)</f>
        <v>1</v>
      </c>
      <c r="U127" t="str">
        <f t="shared" si="13"/>
        <v>119||T2</v>
      </c>
      <c r="V127">
        <f>IF(COUNTIF($U$2:U127, U127)=1, 1, 0)</f>
        <v>1</v>
      </c>
      <c r="W127" t="s">
        <v>160</v>
      </c>
      <c r="X127" t="s">
        <v>410</v>
      </c>
      <c r="Y127" t="str">
        <f>_xlfn.XLOOKUP(X127, codes!A:A, codes!F:F, "")</f>
        <v>M21</v>
      </c>
      <c r="Z127" t="str">
        <f>_xlfn.XLOOKUP(Y127, 'sub-themes'!A:A, 'sub-themes'!H:H, "")</f>
        <v>T2</v>
      </c>
    </row>
    <row r="128" spans="1:26" x14ac:dyDescent="0.2">
      <c r="A128">
        <v>120</v>
      </c>
      <c r="B128">
        <v>183</v>
      </c>
      <c r="C128" t="s">
        <v>47</v>
      </c>
      <c r="D128">
        <v>2</v>
      </c>
      <c r="E128">
        <v>1</v>
      </c>
      <c r="F128" t="s">
        <v>8</v>
      </c>
      <c r="G128" t="s">
        <v>159</v>
      </c>
      <c r="H128" t="str">
        <f t="shared" si="14"/>
        <v>sentence-transformers/multi-qa-mpnet-base-cos-v1</v>
      </c>
      <c r="I128" t="str">
        <f t="shared" si="18"/>
        <v>183||['add']||sentence-transformers/multi-qa-mpnet-base-cos-v1</v>
      </c>
      <c r="J128">
        <f>IF(COUNTIF($I$2:I128, I128)=1, 1, 0)</f>
        <v>0</v>
      </c>
      <c r="K128" t="str">
        <f t="shared" si="10"/>
        <v>183||['add']||sentence-transformers/multi-qa-mpnet-base-cos-v1||C56</v>
      </c>
      <c r="L128">
        <f>IF(COUNTIF($K$2:K128, K128)=1, 1, 0)</f>
        <v>0</v>
      </c>
      <c r="M128" t="str">
        <f t="shared" si="15"/>
        <v>183||['add']||sentence-transformers/multi-qa-mpnet-base-cos-v1||M21</v>
      </c>
      <c r="N128">
        <f>IF(COUNTIF($M$2:M128, M128)=1, 1, 0)</f>
        <v>0</v>
      </c>
      <c r="O128" t="str">
        <f t="shared" si="16"/>
        <v>183||['add']||sentence-transformers/multi-qa-mpnet-base-cos-v1||T2</v>
      </c>
      <c r="P128">
        <f>IF(COUNTIF($O$2:O128, O128)=1, 1, 0)</f>
        <v>0</v>
      </c>
      <c r="Q128" t="str">
        <f t="shared" si="11"/>
        <v>120||C56</v>
      </c>
      <c r="R128">
        <f>IF(COUNTIF($Q$2:Q128, Q128)=1, 1, 0)</f>
        <v>1</v>
      </c>
      <c r="S128" t="str">
        <f t="shared" si="12"/>
        <v>120||M21</v>
      </c>
      <c r="T128">
        <f>IF(COUNTIF($S$2:S128, S128)=1, 1, 0)</f>
        <v>1</v>
      </c>
      <c r="U128" t="str">
        <f t="shared" si="13"/>
        <v>120||T2</v>
      </c>
      <c r="V128">
        <f>IF(COUNTIF($U$2:U128, U128)=1, 1, 0)</f>
        <v>1</v>
      </c>
      <c r="W128" t="s">
        <v>160</v>
      </c>
      <c r="X128" t="s">
        <v>410</v>
      </c>
      <c r="Y128" t="str">
        <f>_xlfn.XLOOKUP(X128, codes!A:A, codes!F:F, "")</f>
        <v>M21</v>
      </c>
      <c r="Z128" t="str">
        <f>_xlfn.XLOOKUP(Y128, 'sub-themes'!A:A, 'sub-themes'!H:H, "")</f>
        <v>T2</v>
      </c>
    </row>
    <row r="129" spans="1:26" x14ac:dyDescent="0.2">
      <c r="A129">
        <v>121</v>
      </c>
      <c r="B129">
        <v>185</v>
      </c>
      <c r="C129" t="s">
        <v>47</v>
      </c>
      <c r="D129">
        <v>3</v>
      </c>
      <c r="E129">
        <v>1</v>
      </c>
      <c r="F129" t="s">
        <v>8</v>
      </c>
      <c r="G129" t="s">
        <v>161</v>
      </c>
      <c r="H129" t="str">
        <f t="shared" si="14"/>
        <v>microsoft/resnet-50</v>
      </c>
      <c r="I129" t="str">
        <f t="shared" si="18"/>
        <v>185||['add']||microsoft/resnet-50</v>
      </c>
      <c r="J129">
        <f>IF(COUNTIF($I$2:I129, I129)=1, 1, 0)</f>
        <v>1</v>
      </c>
      <c r="K129" t="str">
        <f t="shared" si="10"/>
        <v>185||['add']||microsoft/resnet-50||C58</v>
      </c>
      <c r="L129">
        <f>IF(COUNTIF($K$2:K129, K129)=1, 1, 0)</f>
        <v>1</v>
      </c>
      <c r="M129" t="str">
        <f t="shared" si="15"/>
        <v>185||['add']||microsoft/resnet-50||M18</v>
      </c>
      <c r="N129">
        <f>IF(COUNTIF($M$2:M129, M129)=1, 1, 0)</f>
        <v>1</v>
      </c>
      <c r="O129" t="str">
        <f t="shared" si="16"/>
        <v>185||['add']||microsoft/resnet-50||T2</v>
      </c>
      <c r="P129">
        <f>IF(COUNTIF($O$2:O129, O129)=1, 1, 0)</f>
        <v>1</v>
      </c>
      <c r="Q129" t="str">
        <f t="shared" si="11"/>
        <v>121||C58</v>
      </c>
      <c r="R129">
        <f>IF(COUNTIF($Q$2:Q129, Q129)=1, 1, 0)</f>
        <v>1</v>
      </c>
      <c r="S129" t="str">
        <f t="shared" si="12"/>
        <v>121||M18</v>
      </c>
      <c r="T129">
        <f>IF(COUNTIF($S$2:S129, S129)=1, 1, 0)</f>
        <v>1</v>
      </c>
      <c r="U129" t="str">
        <f t="shared" si="13"/>
        <v>121||T2</v>
      </c>
      <c r="V129">
        <f>IF(COUNTIF($U$2:U129, U129)=1, 1, 0)</f>
        <v>1</v>
      </c>
      <c r="W129" t="s">
        <v>162</v>
      </c>
      <c r="X129" t="s">
        <v>415</v>
      </c>
      <c r="Y129" t="str">
        <f>_xlfn.XLOOKUP(X129, codes!A:A, codes!F:F, "")</f>
        <v>M18</v>
      </c>
      <c r="Z129" t="str">
        <f>_xlfn.XLOOKUP(Y129, 'sub-themes'!A:A, 'sub-themes'!H:H, "")</f>
        <v>T2</v>
      </c>
    </row>
    <row r="130" spans="1:26" x14ac:dyDescent="0.2">
      <c r="A130">
        <v>122</v>
      </c>
      <c r="B130">
        <v>191</v>
      </c>
      <c r="C130" t="s">
        <v>7</v>
      </c>
      <c r="D130">
        <v>2</v>
      </c>
      <c r="E130">
        <v>2</v>
      </c>
      <c r="F130" t="s">
        <v>8</v>
      </c>
      <c r="G130" t="s">
        <v>163</v>
      </c>
      <c r="H130" t="str">
        <f t="shared" si="14"/>
        <v>jeeejeee/chatglm3-text2sql-spider|jeeejeee/baichuan7b-text2sql-spider</v>
      </c>
      <c r="I130" t="str">
        <f t="shared" si="18"/>
        <v>191||['add']||jeeejeee/chatglm3-text2sql-spider|jeeejeee/baichuan7b-text2sql-spider</v>
      </c>
      <c r="J130">
        <f>IF(COUNTIF($I$2:I130, I130)=1, 1, 0)</f>
        <v>1</v>
      </c>
      <c r="K130" t="str">
        <f t="shared" ref="K130:K193" si="19">I130 &amp; "||" &amp; X130</f>
        <v>191||['add']||jeeejeee/chatglm3-text2sql-spider|jeeejeee/baichuan7b-text2sql-spider||C39</v>
      </c>
      <c r="L130">
        <f>IF(COUNTIF($K$2:K130, K130)=1, 1, 0)</f>
        <v>1</v>
      </c>
      <c r="M130" t="str">
        <f t="shared" si="15"/>
        <v>191||['add']||jeeejeee/chatglm3-text2sql-spider|jeeejeee/baichuan7b-text2sql-spider||M26</v>
      </c>
      <c r="N130">
        <f>IF(COUNTIF($M$2:M130, M130)=1, 1, 0)</f>
        <v>1</v>
      </c>
      <c r="O130" t="str">
        <f t="shared" si="16"/>
        <v>191||['add']||jeeejeee/chatglm3-text2sql-spider|jeeejeee/baichuan7b-text2sql-spider||T1</v>
      </c>
      <c r="P130">
        <f>IF(COUNTIF($O$2:O130, O130)=1, 1, 0)</f>
        <v>1</v>
      </c>
      <c r="Q130" t="str">
        <f t="shared" ref="Q130:Q193" si="20">A130&amp; "||" &amp; X130</f>
        <v>122||C39</v>
      </c>
      <c r="R130">
        <f>IF(COUNTIF($Q$2:Q130, Q130)=1, 1, 0)</f>
        <v>1</v>
      </c>
      <c r="S130" t="str">
        <f t="shared" ref="S130:S193" si="21">A130&amp; "||" &amp; Y130</f>
        <v>122||M26</v>
      </c>
      <c r="T130">
        <f>IF(COUNTIF($S$2:S130, S130)=1, 1, 0)</f>
        <v>1</v>
      </c>
      <c r="U130" t="str">
        <f t="shared" ref="U130:U193" si="22">A130&amp; "||" &amp; Z130</f>
        <v>122||T1</v>
      </c>
      <c r="V130">
        <f>IF(COUNTIF($U$2:U130, U130)=1, 1, 0)</f>
        <v>1</v>
      </c>
      <c r="W130" t="s">
        <v>228</v>
      </c>
      <c r="X130" t="s">
        <v>349</v>
      </c>
      <c r="Y130" t="str">
        <f>_xlfn.XLOOKUP(X130, codes!A:A, codes!F:F, "")</f>
        <v>M26</v>
      </c>
      <c r="Z130" t="str">
        <f>_xlfn.XLOOKUP(Y130, 'sub-themes'!A:A, 'sub-themes'!H:H, "")</f>
        <v>T1</v>
      </c>
    </row>
    <row r="131" spans="1:26" x14ac:dyDescent="0.2">
      <c r="A131">
        <v>123</v>
      </c>
      <c r="B131">
        <v>191</v>
      </c>
      <c r="C131" t="s">
        <v>19</v>
      </c>
      <c r="D131">
        <v>2</v>
      </c>
      <c r="E131">
        <v>2</v>
      </c>
      <c r="F131" t="s">
        <v>8</v>
      </c>
      <c r="G131" t="s">
        <v>163</v>
      </c>
      <c r="H131" t="str">
        <f t="shared" ref="H131:H194" si="23">SUBSTITUTE(SUBSTITUTE(SUBSTITUTE(SUBSTITUTE(G131,"[",""),"]",""),"'",""),", ","|")</f>
        <v>jeeejeee/chatglm3-text2sql-spider|jeeejeee/baichuan7b-text2sql-spider</v>
      </c>
      <c r="I131" t="str">
        <f t="shared" si="18"/>
        <v>191||['add']||jeeejeee/chatglm3-text2sql-spider|jeeejeee/baichuan7b-text2sql-spider</v>
      </c>
      <c r="J131">
        <f>IF(COUNTIF($I$2:I131, I131)=1, 1, 0)</f>
        <v>0</v>
      </c>
      <c r="K131" t="str">
        <f t="shared" si="19"/>
        <v>191||['add']||jeeejeee/chatglm3-text2sql-spider|jeeejeee/baichuan7b-text2sql-spider||C39</v>
      </c>
      <c r="L131">
        <f>IF(COUNTIF($K$2:K131, K131)=1, 1, 0)</f>
        <v>0</v>
      </c>
      <c r="M131" t="str">
        <f t="shared" ref="M131:M194" si="24">I131 &amp; "||" &amp; Y131</f>
        <v>191||['add']||jeeejeee/chatglm3-text2sql-spider|jeeejeee/baichuan7b-text2sql-spider||M26</v>
      </c>
      <c r="N131">
        <f>IF(COUNTIF($M$2:M131, M131)=1, 1, 0)</f>
        <v>0</v>
      </c>
      <c r="O131" t="str">
        <f t="shared" ref="O131:O194" si="25">I131 &amp; "||" &amp; Z131</f>
        <v>191||['add']||jeeejeee/chatglm3-text2sql-spider|jeeejeee/baichuan7b-text2sql-spider||T1</v>
      </c>
      <c r="P131">
        <f>IF(COUNTIF($O$2:O131, O131)=1, 1, 0)</f>
        <v>0</v>
      </c>
      <c r="Q131" t="str">
        <f t="shared" si="20"/>
        <v>123||C39</v>
      </c>
      <c r="R131">
        <f>IF(COUNTIF($Q$2:Q131, Q131)=1, 1, 0)</f>
        <v>1</v>
      </c>
      <c r="S131" t="str">
        <f t="shared" si="21"/>
        <v>123||M26</v>
      </c>
      <c r="T131">
        <f>IF(COUNTIF($S$2:S131, S131)=1, 1, 0)</f>
        <v>1</v>
      </c>
      <c r="U131" t="str">
        <f t="shared" si="22"/>
        <v>123||T1</v>
      </c>
      <c r="V131">
        <f>IF(COUNTIF($U$2:U131, U131)=1, 1, 0)</f>
        <v>1</v>
      </c>
      <c r="W131" t="s">
        <v>229</v>
      </c>
      <c r="X131" t="s">
        <v>349</v>
      </c>
      <c r="Y131" t="str">
        <f>_xlfn.XLOOKUP(X131, codes!A:A, codes!F:F, "")</f>
        <v>M26</v>
      </c>
      <c r="Z131" t="str">
        <f>_xlfn.XLOOKUP(Y131, 'sub-themes'!A:A, 'sub-themes'!H:H, "")</f>
        <v>T1</v>
      </c>
    </row>
    <row r="132" spans="1:26" x14ac:dyDescent="0.2">
      <c r="A132">
        <v>124</v>
      </c>
      <c r="B132">
        <v>193</v>
      </c>
      <c r="C132" t="s">
        <v>7</v>
      </c>
      <c r="D132">
        <v>3</v>
      </c>
      <c r="E132">
        <v>3</v>
      </c>
      <c r="F132" t="s">
        <v>8</v>
      </c>
      <c r="G132" t="s">
        <v>164</v>
      </c>
      <c r="H132" t="str">
        <f t="shared" si="23"/>
        <v>sangbincho/long_context_16k_testing_1|sangbincho/long_context_32k_testing|sangbincho/long_context_16k_testing_2</v>
      </c>
      <c r="I132" t="str">
        <f t="shared" si="18"/>
        <v>193||['add']||sangbincho/long_context_16k_testing_1|sangbincho/long_context_32k_testing|sangbincho/long_context_16k_testing_2</v>
      </c>
      <c r="J132">
        <f>IF(COUNTIF($I$2:I132, I132)=1, 1, 0)</f>
        <v>1</v>
      </c>
      <c r="K132" t="str">
        <f t="shared" si="19"/>
        <v>193||['add']||sangbincho/long_context_16k_testing_1|sangbincho/long_context_32k_testing|sangbincho/long_context_16k_testing_2||C39</v>
      </c>
      <c r="L132">
        <f>IF(COUNTIF($K$2:K132, K132)=1, 1, 0)</f>
        <v>1</v>
      </c>
      <c r="M132" t="str">
        <f t="shared" si="24"/>
        <v>193||['add']||sangbincho/long_context_16k_testing_1|sangbincho/long_context_32k_testing|sangbincho/long_context_16k_testing_2||M26</v>
      </c>
      <c r="N132">
        <f>IF(COUNTIF($M$2:M132, M132)=1, 1, 0)</f>
        <v>1</v>
      </c>
      <c r="O132" t="str">
        <f t="shared" si="25"/>
        <v>193||['add']||sangbincho/long_context_16k_testing_1|sangbincho/long_context_32k_testing|sangbincho/long_context_16k_testing_2||T1</v>
      </c>
      <c r="P132">
        <f>IF(COUNTIF($O$2:O132, O132)=1, 1, 0)</f>
        <v>1</v>
      </c>
      <c r="Q132" t="str">
        <f t="shared" si="20"/>
        <v>124||C39</v>
      </c>
      <c r="R132">
        <f>IF(COUNTIF($Q$2:Q132, Q132)=1, 1, 0)</f>
        <v>1</v>
      </c>
      <c r="S132" t="str">
        <f t="shared" si="21"/>
        <v>124||M26</v>
      </c>
      <c r="T132">
        <f>IF(COUNTIF($S$2:S132, S132)=1, 1, 0)</f>
        <v>1</v>
      </c>
      <c r="U132" t="str">
        <f t="shared" si="22"/>
        <v>124||T1</v>
      </c>
      <c r="V132">
        <f>IF(COUNTIF($U$2:U132, U132)=1, 1, 0)</f>
        <v>1</v>
      </c>
      <c r="W132" t="s">
        <v>230</v>
      </c>
      <c r="X132" t="s">
        <v>349</v>
      </c>
      <c r="Y132" t="str">
        <f>_xlfn.XLOOKUP(X132, codes!A:A, codes!F:F, "")</f>
        <v>M26</v>
      </c>
      <c r="Z132" t="str">
        <f>_xlfn.XLOOKUP(Y132, 'sub-themes'!A:A, 'sub-themes'!H:H, "")</f>
        <v>T1</v>
      </c>
    </row>
    <row r="133" spans="1:26" x14ac:dyDescent="0.2">
      <c r="A133">
        <v>125</v>
      </c>
      <c r="B133">
        <v>193</v>
      </c>
      <c r="C133" t="s">
        <v>19</v>
      </c>
      <c r="D133">
        <v>3</v>
      </c>
      <c r="E133">
        <v>3</v>
      </c>
      <c r="F133" t="s">
        <v>8</v>
      </c>
      <c r="G133" t="s">
        <v>164</v>
      </c>
      <c r="H133" t="str">
        <f t="shared" si="23"/>
        <v>sangbincho/long_context_16k_testing_1|sangbincho/long_context_32k_testing|sangbincho/long_context_16k_testing_2</v>
      </c>
      <c r="I133" t="str">
        <f t="shared" si="18"/>
        <v>193||['add']||sangbincho/long_context_16k_testing_1|sangbincho/long_context_32k_testing|sangbincho/long_context_16k_testing_2</v>
      </c>
      <c r="J133">
        <f>IF(COUNTIF($I$2:I133, I133)=1, 1, 0)</f>
        <v>0</v>
      </c>
      <c r="K133" t="str">
        <f t="shared" si="19"/>
        <v>193||['add']||sangbincho/long_context_16k_testing_1|sangbincho/long_context_32k_testing|sangbincho/long_context_16k_testing_2||C39</v>
      </c>
      <c r="L133">
        <f>IF(COUNTIF($K$2:K133, K133)=1, 1, 0)</f>
        <v>0</v>
      </c>
      <c r="M133" t="str">
        <f t="shared" si="24"/>
        <v>193||['add']||sangbincho/long_context_16k_testing_1|sangbincho/long_context_32k_testing|sangbincho/long_context_16k_testing_2||M26</v>
      </c>
      <c r="N133">
        <f>IF(COUNTIF($M$2:M133, M133)=1, 1, 0)</f>
        <v>0</v>
      </c>
      <c r="O133" t="str">
        <f t="shared" si="25"/>
        <v>193||['add']||sangbincho/long_context_16k_testing_1|sangbincho/long_context_32k_testing|sangbincho/long_context_16k_testing_2||T1</v>
      </c>
      <c r="P133">
        <f>IF(COUNTIF($O$2:O133, O133)=1, 1, 0)</f>
        <v>0</v>
      </c>
      <c r="Q133" t="str">
        <f t="shared" si="20"/>
        <v>125||C39</v>
      </c>
      <c r="R133">
        <f>IF(COUNTIF($Q$2:Q133, Q133)=1, 1, 0)</f>
        <v>1</v>
      </c>
      <c r="S133" t="str">
        <f t="shared" si="21"/>
        <v>125||M26</v>
      </c>
      <c r="T133">
        <f>IF(COUNTIF($S$2:S133, S133)=1, 1, 0)</f>
        <v>1</v>
      </c>
      <c r="U133" t="str">
        <f t="shared" si="22"/>
        <v>125||T1</v>
      </c>
      <c r="V133">
        <f>IF(COUNTIF($U$2:U133, U133)=1, 1, 0)</f>
        <v>1</v>
      </c>
      <c r="W133" t="s">
        <v>230</v>
      </c>
      <c r="X133" t="s">
        <v>349</v>
      </c>
      <c r="Y133" t="str">
        <f>_xlfn.XLOOKUP(X133, codes!A:A, codes!F:F, "")</f>
        <v>M26</v>
      </c>
      <c r="Z133" t="str">
        <f>_xlfn.XLOOKUP(Y133, 'sub-themes'!A:A, 'sub-themes'!H:H, "")</f>
        <v>T1</v>
      </c>
    </row>
    <row r="134" spans="1:26" x14ac:dyDescent="0.2">
      <c r="A134">
        <v>126</v>
      </c>
      <c r="B134">
        <v>194</v>
      </c>
      <c r="C134" t="s">
        <v>28</v>
      </c>
      <c r="D134">
        <v>1</v>
      </c>
      <c r="E134">
        <v>1</v>
      </c>
      <c r="F134" t="s">
        <v>8</v>
      </c>
      <c r="G134" t="s">
        <v>165</v>
      </c>
      <c r="H134" t="str">
        <f t="shared" si="23"/>
        <v>isotr0py/phi-2-test-sql-lora</v>
      </c>
      <c r="I134" t="str">
        <f t="shared" si="18"/>
        <v>194||['add']||isotr0py/phi-2-test-sql-lora</v>
      </c>
      <c r="J134">
        <f>IF(COUNTIF($I$2:I134, I134)=1, 1, 0)</f>
        <v>1</v>
      </c>
      <c r="K134" t="str">
        <f t="shared" si="19"/>
        <v>194||['add']||isotr0py/phi-2-test-sql-lora||C25</v>
      </c>
      <c r="L134">
        <f>IF(COUNTIF($K$2:K134, K134)=1, 1, 0)</f>
        <v>1</v>
      </c>
      <c r="M134" t="str">
        <f t="shared" si="24"/>
        <v>194||['add']||isotr0py/phi-2-test-sql-lora||M25</v>
      </c>
      <c r="N134">
        <f>IF(COUNTIF($M$2:M134, M134)=1, 1, 0)</f>
        <v>1</v>
      </c>
      <c r="O134" t="str">
        <f t="shared" si="25"/>
        <v>194||['add']||isotr0py/phi-2-test-sql-lora||T1</v>
      </c>
      <c r="P134">
        <f>IF(COUNTIF($O$2:O134, O134)=1, 1, 0)</f>
        <v>1</v>
      </c>
      <c r="Q134" t="str">
        <f t="shared" si="20"/>
        <v>126||C25</v>
      </c>
      <c r="R134">
        <f>IF(COUNTIF($Q$2:Q134, Q134)=1, 1, 0)</f>
        <v>1</v>
      </c>
      <c r="S134" t="str">
        <f t="shared" si="21"/>
        <v>126||M25</v>
      </c>
      <c r="T134">
        <f>IF(COUNTIF($S$2:S134, S134)=1, 1, 0)</f>
        <v>1</v>
      </c>
      <c r="U134" t="str">
        <f t="shared" si="22"/>
        <v>126||T1</v>
      </c>
      <c r="V134">
        <f>IF(COUNTIF($U$2:U134, U134)=1, 1, 0)</f>
        <v>1</v>
      </c>
      <c r="W134" t="s">
        <v>231</v>
      </c>
      <c r="X134" t="s">
        <v>325</v>
      </c>
      <c r="Y134" t="str">
        <f>_xlfn.XLOOKUP(X134, codes!A:A, codes!F:F, "")</f>
        <v>M25</v>
      </c>
      <c r="Z134" t="str">
        <f>_xlfn.XLOOKUP(Y134, 'sub-themes'!A:A, 'sub-themes'!H:H, "")</f>
        <v>T1</v>
      </c>
    </row>
    <row r="135" spans="1:26" x14ac:dyDescent="0.2">
      <c r="A135">
        <v>127</v>
      </c>
      <c r="B135">
        <v>195</v>
      </c>
      <c r="C135" t="s">
        <v>15</v>
      </c>
      <c r="D135">
        <v>1</v>
      </c>
      <c r="E135">
        <v>1</v>
      </c>
      <c r="F135" t="s">
        <v>8</v>
      </c>
      <c r="G135" t="s">
        <v>166</v>
      </c>
      <c r="H135" t="str">
        <f t="shared" si="23"/>
        <v>baai/bge-multilingual-gemma2</v>
      </c>
      <c r="I135" t="str">
        <f t="shared" si="18"/>
        <v>195||['add']||baai/bge-multilingual-gemma2</v>
      </c>
      <c r="J135">
        <f>IF(COUNTIF($I$2:I135, I135)=1, 1, 0)</f>
        <v>1</v>
      </c>
      <c r="K135" t="str">
        <f t="shared" si="19"/>
        <v>195||['add']||baai/bge-multilingual-gemma2||C56</v>
      </c>
      <c r="L135">
        <f>IF(COUNTIF($K$2:K135, K135)=1, 1, 0)</f>
        <v>1</v>
      </c>
      <c r="M135" t="str">
        <f t="shared" si="24"/>
        <v>195||['add']||baai/bge-multilingual-gemma2||M21</v>
      </c>
      <c r="N135">
        <f>IF(COUNTIF($M$2:M135, M135)=1, 1, 0)</f>
        <v>1</v>
      </c>
      <c r="O135" t="str">
        <f t="shared" si="25"/>
        <v>195||['add']||baai/bge-multilingual-gemma2||T2</v>
      </c>
      <c r="P135">
        <f>IF(COUNTIF($O$2:O135, O135)=1, 1, 0)</f>
        <v>1</v>
      </c>
      <c r="Q135" t="str">
        <f t="shared" si="20"/>
        <v>127||C56</v>
      </c>
      <c r="R135">
        <f>IF(COUNTIF($Q$2:Q135, Q135)=1, 1, 0)</f>
        <v>1</v>
      </c>
      <c r="S135" t="str">
        <f t="shared" si="21"/>
        <v>127||M21</v>
      </c>
      <c r="T135">
        <f>IF(COUNTIF($S$2:S135, S135)=1, 1, 0)</f>
        <v>1</v>
      </c>
      <c r="U135" t="str">
        <f t="shared" si="22"/>
        <v>127||T2</v>
      </c>
      <c r="V135">
        <f>IF(COUNTIF($U$2:U135, U135)=1, 1, 0)</f>
        <v>1</v>
      </c>
      <c r="W135" t="s">
        <v>167</v>
      </c>
      <c r="X135" t="s">
        <v>410</v>
      </c>
      <c r="Y135" t="str">
        <f>_xlfn.XLOOKUP(X135, codes!A:A, codes!F:F, "")</f>
        <v>M21</v>
      </c>
      <c r="Z135" t="str">
        <f>_xlfn.XLOOKUP(Y135, 'sub-themes'!A:A, 'sub-themes'!H:H, "")</f>
        <v>T2</v>
      </c>
    </row>
    <row r="136" spans="1:26" x14ac:dyDescent="0.2">
      <c r="A136">
        <v>128</v>
      </c>
      <c r="B136">
        <v>195</v>
      </c>
      <c r="C136" t="s">
        <v>7</v>
      </c>
      <c r="D136">
        <v>1</v>
      </c>
      <c r="E136">
        <v>1</v>
      </c>
      <c r="F136" t="s">
        <v>8</v>
      </c>
      <c r="G136" t="s">
        <v>166</v>
      </c>
      <c r="H136" t="str">
        <f t="shared" si="23"/>
        <v>baai/bge-multilingual-gemma2</v>
      </c>
      <c r="I136" t="str">
        <f t="shared" si="18"/>
        <v>195||['add']||baai/bge-multilingual-gemma2</v>
      </c>
      <c r="J136">
        <f>IF(COUNTIF($I$2:I136, I136)=1, 1, 0)</f>
        <v>0</v>
      </c>
      <c r="K136" t="str">
        <f t="shared" si="19"/>
        <v>195||['add']||baai/bge-multilingual-gemma2||C56</v>
      </c>
      <c r="L136">
        <f>IF(COUNTIF($K$2:K136, K136)=1, 1, 0)</f>
        <v>0</v>
      </c>
      <c r="M136" t="str">
        <f t="shared" si="24"/>
        <v>195||['add']||baai/bge-multilingual-gemma2||M21</v>
      </c>
      <c r="N136">
        <f>IF(COUNTIF($M$2:M136, M136)=1, 1, 0)</f>
        <v>0</v>
      </c>
      <c r="O136" t="str">
        <f t="shared" si="25"/>
        <v>195||['add']||baai/bge-multilingual-gemma2||T2</v>
      </c>
      <c r="P136">
        <f>IF(COUNTIF($O$2:O136, O136)=1, 1, 0)</f>
        <v>0</v>
      </c>
      <c r="Q136" t="str">
        <f t="shared" si="20"/>
        <v>128||C56</v>
      </c>
      <c r="R136">
        <f>IF(COUNTIF($Q$2:Q136, Q136)=1, 1, 0)</f>
        <v>1</v>
      </c>
      <c r="S136" t="str">
        <f t="shared" si="21"/>
        <v>128||M21</v>
      </c>
      <c r="T136">
        <f>IF(COUNTIF($S$2:S136, S136)=1, 1, 0)</f>
        <v>1</v>
      </c>
      <c r="U136" t="str">
        <f t="shared" si="22"/>
        <v>128||T2</v>
      </c>
      <c r="V136">
        <f>IF(COUNTIF($U$2:U136, U136)=1, 1, 0)</f>
        <v>1</v>
      </c>
      <c r="W136" t="s">
        <v>167</v>
      </c>
      <c r="X136" t="s">
        <v>410</v>
      </c>
      <c r="Y136" t="str">
        <f>_xlfn.XLOOKUP(X136, codes!A:A, codes!F:F, "")</f>
        <v>M21</v>
      </c>
      <c r="Z136" t="str">
        <f>_xlfn.XLOOKUP(Y136, 'sub-themes'!A:A, 'sub-themes'!H:H, "")</f>
        <v>T2</v>
      </c>
    </row>
    <row r="137" spans="1:26" x14ac:dyDescent="0.2">
      <c r="A137">
        <v>129</v>
      </c>
      <c r="B137">
        <v>195</v>
      </c>
      <c r="C137" t="s">
        <v>19</v>
      </c>
      <c r="D137">
        <v>1</v>
      </c>
      <c r="E137">
        <v>1</v>
      </c>
      <c r="F137" t="s">
        <v>8</v>
      </c>
      <c r="G137" t="s">
        <v>166</v>
      </c>
      <c r="H137" t="str">
        <f t="shared" si="23"/>
        <v>baai/bge-multilingual-gemma2</v>
      </c>
      <c r="I137" t="str">
        <f t="shared" si="18"/>
        <v>195||['add']||baai/bge-multilingual-gemma2</v>
      </c>
      <c r="J137">
        <f>IF(COUNTIF($I$2:I137, I137)=1, 1, 0)</f>
        <v>0</v>
      </c>
      <c r="K137" t="str">
        <f t="shared" si="19"/>
        <v>195||['add']||baai/bge-multilingual-gemma2||C56</v>
      </c>
      <c r="L137">
        <f>IF(COUNTIF($K$2:K137, K137)=1, 1, 0)</f>
        <v>0</v>
      </c>
      <c r="M137" t="str">
        <f t="shared" si="24"/>
        <v>195||['add']||baai/bge-multilingual-gemma2||M21</v>
      </c>
      <c r="N137">
        <f>IF(COUNTIF($M$2:M137, M137)=1, 1, 0)</f>
        <v>0</v>
      </c>
      <c r="O137" t="str">
        <f t="shared" si="25"/>
        <v>195||['add']||baai/bge-multilingual-gemma2||T2</v>
      </c>
      <c r="P137">
        <f>IF(COUNTIF($O$2:O137, O137)=1, 1, 0)</f>
        <v>0</v>
      </c>
      <c r="Q137" t="str">
        <f t="shared" si="20"/>
        <v>129||C56</v>
      </c>
      <c r="R137">
        <f>IF(COUNTIF($Q$2:Q137, Q137)=1, 1, 0)</f>
        <v>1</v>
      </c>
      <c r="S137" t="str">
        <f t="shared" si="21"/>
        <v>129||M21</v>
      </c>
      <c r="T137">
        <f>IF(COUNTIF($S$2:S137, S137)=1, 1, 0)</f>
        <v>1</v>
      </c>
      <c r="U137" t="str">
        <f t="shared" si="22"/>
        <v>129||T2</v>
      </c>
      <c r="V137">
        <f>IF(COUNTIF($U$2:U137, U137)=1, 1, 0)</f>
        <v>1</v>
      </c>
      <c r="W137" t="s">
        <v>167</v>
      </c>
      <c r="X137" t="s">
        <v>410</v>
      </c>
      <c r="Y137" t="str">
        <f>_xlfn.XLOOKUP(X137, codes!A:A, codes!F:F, "")</f>
        <v>M21</v>
      </c>
      <c r="Z137" t="str">
        <f>_xlfn.XLOOKUP(Y137, 'sub-themes'!A:A, 'sub-themes'!H:H, "")</f>
        <v>T2</v>
      </c>
    </row>
    <row r="138" spans="1:26" x14ac:dyDescent="0.2">
      <c r="A138">
        <v>130</v>
      </c>
      <c r="B138">
        <v>200</v>
      </c>
      <c r="C138" t="s">
        <v>15</v>
      </c>
      <c r="D138">
        <v>1</v>
      </c>
      <c r="E138">
        <v>1</v>
      </c>
      <c r="F138" t="s">
        <v>8</v>
      </c>
      <c r="G138" t="s">
        <v>168</v>
      </c>
      <c r="H138" t="str">
        <f t="shared" si="23"/>
        <v>facebook/opt-125m</v>
      </c>
      <c r="I138" t="str">
        <f t="shared" si="18"/>
        <v>200||['add']||facebook/opt-125m</v>
      </c>
      <c r="J138">
        <f>IF(COUNTIF($I$2:I138, I138)=1, 1, 0)</f>
        <v>1</v>
      </c>
      <c r="K138" t="str">
        <f t="shared" si="19"/>
        <v>200||['add']||facebook/opt-125m||C57</v>
      </c>
      <c r="L138">
        <f>IF(COUNTIF($K$2:K138, K138)=1, 1, 0)</f>
        <v>1</v>
      </c>
      <c r="M138" t="str">
        <f t="shared" si="24"/>
        <v>200||['add']||facebook/opt-125m||M1</v>
      </c>
      <c r="N138">
        <f>IF(COUNTIF($M$2:M138, M138)=1, 1, 0)</f>
        <v>1</v>
      </c>
      <c r="O138" t="str">
        <f t="shared" si="25"/>
        <v>200||['add']||facebook/opt-125m||T1</v>
      </c>
      <c r="P138">
        <f>IF(COUNTIF($O$2:O138, O138)=1, 1, 0)</f>
        <v>1</v>
      </c>
      <c r="Q138" t="str">
        <f t="shared" si="20"/>
        <v>130||C57</v>
      </c>
      <c r="R138">
        <f>IF(COUNTIF($Q$2:Q138, Q138)=1, 1, 0)</f>
        <v>1</v>
      </c>
      <c r="S138" t="str">
        <f t="shared" si="21"/>
        <v>130||M1</v>
      </c>
      <c r="T138">
        <f>IF(COUNTIF($S$2:S138, S138)=1, 1, 0)</f>
        <v>1</v>
      </c>
      <c r="U138" t="str">
        <f t="shared" si="22"/>
        <v>130||T1</v>
      </c>
      <c r="V138">
        <f>IF(COUNTIF($U$2:U138, U138)=1, 1, 0)</f>
        <v>1</v>
      </c>
      <c r="W138" t="s">
        <v>232</v>
      </c>
      <c r="X138" t="s">
        <v>413</v>
      </c>
      <c r="Y138" t="str">
        <f>_xlfn.XLOOKUP(X138, codes!A:A, codes!F:F, "")</f>
        <v>M1</v>
      </c>
      <c r="Z138" t="str">
        <f>_xlfn.XLOOKUP(Y138, 'sub-themes'!A:A, 'sub-themes'!H:H, "")</f>
        <v>T1</v>
      </c>
    </row>
    <row r="139" spans="1:26" x14ac:dyDescent="0.2">
      <c r="A139">
        <v>131</v>
      </c>
      <c r="B139">
        <v>200</v>
      </c>
      <c r="C139" t="s">
        <v>7</v>
      </c>
      <c r="D139">
        <v>1</v>
      </c>
      <c r="E139">
        <v>1</v>
      </c>
      <c r="F139" t="s">
        <v>8</v>
      </c>
      <c r="G139" t="s">
        <v>168</v>
      </c>
      <c r="H139" t="str">
        <f t="shared" si="23"/>
        <v>facebook/opt-125m</v>
      </c>
      <c r="I139" t="str">
        <f t="shared" si="18"/>
        <v>200||['add']||facebook/opt-125m</v>
      </c>
      <c r="J139">
        <f>IF(COUNTIF($I$2:I139, I139)=1, 1, 0)</f>
        <v>0</v>
      </c>
      <c r="K139" t="str">
        <f t="shared" si="19"/>
        <v>200||['add']||facebook/opt-125m||C57</v>
      </c>
      <c r="L139">
        <f>IF(COUNTIF($K$2:K139, K139)=1, 1, 0)</f>
        <v>0</v>
      </c>
      <c r="M139" t="str">
        <f t="shared" si="24"/>
        <v>200||['add']||facebook/opt-125m||M1</v>
      </c>
      <c r="N139">
        <f>IF(COUNTIF($M$2:M139, M139)=1, 1, 0)</f>
        <v>0</v>
      </c>
      <c r="O139" t="str">
        <f t="shared" si="25"/>
        <v>200||['add']||facebook/opt-125m||T1</v>
      </c>
      <c r="P139">
        <f>IF(COUNTIF($O$2:O139, O139)=1, 1, 0)</f>
        <v>0</v>
      </c>
      <c r="Q139" t="str">
        <f t="shared" si="20"/>
        <v>131||C57</v>
      </c>
      <c r="R139">
        <f>IF(COUNTIF($Q$2:Q139, Q139)=1, 1, 0)</f>
        <v>1</v>
      </c>
      <c r="S139" t="str">
        <f t="shared" si="21"/>
        <v>131||M1</v>
      </c>
      <c r="T139">
        <f>IF(COUNTIF($S$2:S139, S139)=1, 1, 0)</f>
        <v>1</v>
      </c>
      <c r="U139" t="str">
        <f t="shared" si="22"/>
        <v>131||T1</v>
      </c>
      <c r="V139">
        <f>IF(COUNTIF($U$2:U139, U139)=1, 1, 0)</f>
        <v>1</v>
      </c>
      <c r="W139" t="s">
        <v>169</v>
      </c>
      <c r="X139" t="s">
        <v>413</v>
      </c>
      <c r="Y139" t="str">
        <f>_xlfn.XLOOKUP(X139, codes!A:A, codes!F:F, "")</f>
        <v>M1</v>
      </c>
      <c r="Z139" t="str">
        <f>_xlfn.XLOOKUP(Y139, 'sub-themes'!A:A, 'sub-themes'!H:H, "")</f>
        <v>T1</v>
      </c>
    </row>
    <row r="140" spans="1:26" x14ac:dyDescent="0.2">
      <c r="A140">
        <v>132</v>
      </c>
      <c r="B140">
        <v>200</v>
      </c>
      <c r="C140" t="s">
        <v>19</v>
      </c>
      <c r="D140">
        <v>1</v>
      </c>
      <c r="E140">
        <v>1</v>
      </c>
      <c r="F140" t="s">
        <v>8</v>
      </c>
      <c r="G140" t="s">
        <v>168</v>
      </c>
      <c r="H140" t="str">
        <f t="shared" si="23"/>
        <v>facebook/opt-125m</v>
      </c>
      <c r="I140" t="str">
        <f t="shared" si="18"/>
        <v>200||['add']||facebook/opt-125m</v>
      </c>
      <c r="J140">
        <f>IF(COUNTIF($I$2:I140, I140)=1, 1, 0)</f>
        <v>0</v>
      </c>
      <c r="K140" t="str">
        <f t="shared" si="19"/>
        <v>200||['add']||facebook/opt-125m||C57</v>
      </c>
      <c r="L140">
        <f>IF(COUNTIF($K$2:K140, K140)=1, 1, 0)</f>
        <v>0</v>
      </c>
      <c r="M140" t="str">
        <f t="shared" si="24"/>
        <v>200||['add']||facebook/opt-125m||M1</v>
      </c>
      <c r="N140">
        <f>IF(COUNTIF($M$2:M140, M140)=1, 1, 0)</f>
        <v>0</v>
      </c>
      <c r="O140" t="str">
        <f t="shared" si="25"/>
        <v>200||['add']||facebook/opt-125m||T1</v>
      </c>
      <c r="P140">
        <f>IF(COUNTIF($O$2:O140, O140)=1, 1, 0)</f>
        <v>0</v>
      </c>
      <c r="Q140" t="str">
        <f t="shared" si="20"/>
        <v>132||C57</v>
      </c>
      <c r="R140">
        <f>IF(COUNTIF($Q$2:Q140, Q140)=1, 1, 0)</f>
        <v>1</v>
      </c>
      <c r="S140" t="str">
        <f t="shared" si="21"/>
        <v>132||M1</v>
      </c>
      <c r="T140">
        <f>IF(COUNTIF($S$2:S140, S140)=1, 1, 0)</f>
        <v>1</v>
      </c>
      <c r="U140" t="str">
        <f t="shared" si="22"/>
        <v>132||T1</v>
      </c>
      <c r="V140">
        <f>IF(COUNTIF($U$2:U140, U140)=1, 1, 0)</f>
        <v>1</v>
      </c>
      <c r="W140" t="s">
        <v>169</v>
      </c>
      <c r="X140" t="s">
        <v>413</v>
      </c>
      <c r="Y140" t="str">
        <f>_xlfn.XLOOKUP(X140, codes!A:A, codes!F:F, "")</f>
        <v>M1</v>
      </c>
      <c r="Z140" t="str">
        <f>_xlfn.XLOOKUP(Y140, 'sub-themes'!A:A, 'sub-themes'!H:H, "")</f>
        <v>T1</v>
      </c>
    </row>
    <row r="141" spans="1:26" x14ac:dyDescent="0.2">
      <c r="A141">
        <v>133</v>
      </c>
      <c r="B141">
        <v>200</v>
      </c>
      <c r="C141" t="s">
        <v>11</v>
      </c>
      <c r="D141">
        <v>1</v>
      </c>
      <c r="E141">
        <v>1</v>
      </c>
      <c r="F141" t="s">
        <v>8</v>
      </c>
      <c r="G141" t="s">
        <v>168</v>
      </c>
      <c r="H141" t="str">
        <f t="shared" si="23"/>
        <v>facebook/opt-125m</v>
      </c>
      <c r="I141" t="str">
        <f t="shared" si="18"/>
        <v>200||['add']||facebook/opt-125m</v>
      </c>
      <c r="J141">
        <f>IF(COUNTIF($I$2:I141, I141)=1, 1, 0)</f>
        <v>0</v>
      </c>
      <c r="K141" t="str">
        <f t="shared" si="19"/>
        <v>200||['add']||facebook/opt-125m||C57</v>
      </c>
      <c r="L141">
        <f>IF(COUNTIF($K$2:K141, K141)=1, 1, 0)</f>
        <v>0</v>
      </c>
      <c r="M141" t="str">
        <f t="shared" si="24"/>
        <v>200||['add']||facebook/opt-125m||M1</v>
      </c>
      <c r="N141">
        <f>IF(COUNTIF($M$2:M141, M141)=1, 1, 0)</f>
        <v>0</v>
      </c>
      <c r="O141" t="str">
        <f t="shared" si="25"/>
        <v>200||['add']||facebook/opt-125m||T1</v>
      </c>
      <c r="P141">
        <f>IF(COUNTIF($O$2:O141, O141)=1, 1, 0)</f>
        <v>0</v>
      </c>
      <c r="Q141" t="str">
        <f t="shared" si="20"/>
        <v>133||C57</v>
      </c>
      <c r="R141">
        <f>IF(COUNTIF($Q$2:Q141, Q141)=1, 1, 0)</f>
        <v>1</v>
      </c>
      <c r="S141" t="str">
        <f t="shared" si="21"/>
        <v>133||M1</v>
      </c>
      <c r="T141">
        <f>IF(COUNTIF($S$2:S141, S141)=1, 1, 0)</f>
        <v>1</v>
      </c>
      <c r="U141" t="str">
        <f t="shared" si="22"/>
        <v>133||T1</v>
      </c>
      <c r="V141">
        <f>IF(COUNTIF($U$2:U141, U141)=1, 1, 0)</f>
        <v>1</v>
      </c>
      <c r="W141" t="s">
        <v>232</v>
      </c>
      <c r="X141" t="s">
        <v>413</v>
      </c>
      <c r="Y141" t="str">
        <f>_xlfn.XLOOKUP(X141, codes!A:A, codes!F:F, "")</f>
        <v>M1</v>
      </c>
      <c r="Z141" t="str">
        <f>_xlfn.XLOOKUP(Y141, 'sub-themes'!A:A, 'sub-themes'!H:H, "")</f>
        <v>T1</v>
      </c>
    </row>
    <row r="142" spans="1:26" x14ac:dyDescent="0.2">
      <c r="A142">
        <v>134</v>
      </c>
      <c r="B142">
        <v>203</v>
      </c>
      <c r="C142" t="s">
        <v>19</v>
      </c>
      <c r="D142">
        <v>1</v>
      </c>
      <c r="E142">
        <v>1</v>
      </c>
      <c r="F142" t="s">
        <v>27</v>
      </c>
      <c r="G142" t="s">
        <v>170</v>
      </c>
      <c r="H142" t="str">
        <f t="shared" si="23"/>
        <v>dyang415/mixtral-lora-v0</v>
      </c>
      <c r="I142" t="str">
        <f t="shared" si="18"/>
        <v>203||['remove']||dyang415/mixtral-lora-v0</v>
      </c>
      <c r="J142">
        <f>IF(COUNTIF($I$2:I142, I142)=1, 1, 0)</f>
        <v>1</v>
      </c>
      <c r="K142" t="str">
        <f t="shared" si="19"/>
        <v>203||['remove']||dyang415/mixtral-lora-v0||C54</v>
      </c>
      <c r="L142">
        <f>IF(COUNTIF($K$2:K142, K142)=1, 1, 0)</f>
        <v>1</v>
      </c>
      <c r="M142" t="str">
        <f t="shared" si="24"/>
        <v>203||['remove']||dyang415/mixtral-lora-v0||M14</v>
      </c>
      <c r="N142">
        <f>IF(COUNTIF($M$2:M142, M142)=1, 1, 0)</f>
        <v>1</v>
      </c>
      <c r="O142" t="str">
        <f t="shared" si="25"/>
        <v>203||['remove']||dyang415/mixtral-lora-v0||T3</v>
      </c>
      <c r="P142">
        <f>IF(COUNTIF($O$2:O142, O142)=1, 1, 0)</f>
        <v>1</v>
      </c>
      <c r="Q142" t="str">
        <f t="shared" si="20"/>
        <v>134||C54</v>
      </c>
      <c r="R142">
        <f>IF(COUNTIF($Q$2:Q142, Q142)=1, 1, 0)</f>
        <v>1</v>
      </c>
      <c r="S142" t="str">
        <f t="shared" si="21"/>
        <v>134||M14</v>
      </c>
      <c r="T142">
        <f>IF(COUNTIF($S$2:S142, S142)=1, 1, 0)</f>
        <v>1</v>
      </c>
      <c r="U142" t="str">
        <f t="shared" si="22"/>
        <v>134||T3</v>
      </c>
      <c r="V142">
        <f>IF(COUNTIF($U$2:U142, U142)=1, 1, 0)</f>
        <v>1</v>
      </c>
      <c r="W142" t="s">
        <v>233</v>
      </c>
      <c r="X142" t="s">
        <v>406</v>
      </c>
      <c r="Y142" t="str">
        <f>_xlfn.XLOOKUP(X142, codes!A:A, codes!F:F, "")</f>
        <v>M14</v>
      </c>
      <c r="Z142" t="str">
        <f>_xlfn.XLOOKUP(Y142, 'sub-themes'!A:A, 'sub-themes'!H:H, "")</f>
        <v>T3</v>
      </c>
    </row>
    <row r="143" spans="1:26" x14ac:dyDescent="0.2">
      <c r="A143">
        <v>135</v>
      </c>
      <c r="B143">
        <v>205</v>
      </c>
      <c r="C143" t="s">
        <v>15</v>
      </c>
      <c r="D143">
        <v>2</v>
      </c>
      <c r="E143">
        <v>2</v>
      </c>
      <c r="F143" t="s">
        <v>27</v>
      </c>
      <c r="G143" t="s">
        <v>172</v>
      </c>
      <c r="H143" t="str">
        <f t="shared" si="23"/>
        <v>sangbincho/long_context_32k_testing|sangbincho/long_context_16k_testing_2</v>
      </c>
      <c r="I143" t="str">
        <f t="shared" si="18"/>
        <v>205||['remove']||sangbincho/long_context_32k_testing|sangbincho/long_context_16k_testing_2</v>
      </c>
      <c r="J143">
        <f>IF(COUNTIF($I$2:I143, I143)=1, 1, 0)</f>
        <v>1</v>
      </c>
      <c r="K143" t="str">
        <f t="shared" si="19"/>
        <v>205||['remove']||sangbincho/long_context_32k_testing|sangbincho/long_context_16k_testing_2||C40</v>
      </c>
      <c r="L143">
        <f>IF(COUNTIF($K$2:K143, K143)=1, 1, 0)</f>
        <v>1</v>
      </c>
      <c r="M143" t="str">
        <f t="shared" si="24"/>
        <v>205||['remove']||sangbincho/long_context_32k_testing|sangbincho/long_context_16k_testing_2||M37</v>
      </c>
      <c r="N143">
        <f>IF(COUNTIF($M$2:M143, M143)=1, 1, 0)</f>
        <v>1</v>
      </c>
      <c r="O143" t="str">
        <f t="shared" si="25"/>
        <v>205||['remove']||sangbincho/long_context_32k_testing|sangbincho/long_context_16k_testing_2||T4</v>
      </c>
      <c r="P143">
        <f>IF(COUNTIF($O$2:O143, O143)=1, 1, 0)</f>
        <v>1</v>
      </c>
      <c r="Q143" t="str">
        <f t="shared" si="20"/>
        <v>135||C40</v>
      </c>
      <c r="R143">
        <f>IF(COUNTIF($Q$2:Q143, Q143)=1, 1, 0)</f>
        <v>1</v>
      </c>
      <c r="S143" t="str">
        <f t="shared" si="21"/>
        <v>135||M37</v>
      </c>
      <c r="T143">
        <f>IF(COUNTIF($S$2:S143, S143)=1, 1, 0)</f>
        <v>1</v>
      </c>
      <c r="U143" t="str">
        <f t="shared" si="22"/>
        <v>135||T4</v>
      </c>
      <c r="V143">
        <f>IF(COUNTIF($U$2:U143, U143)=1, 1, 0)</f>
        <v>1</v>
      </c>
      <c r="W143" t="s">
        <v>235</v>
      </c>
      <c r="X143" t="s">
        <v>351</v>
      </c>
      <c r="Y143" t="str">
        <f>_xlfn.XLOOKUP(X143, codes!A:A, codes!F:F, "")</f>
        <v>M37</v>
      </c>
      <c r="Z143" t="str">
        <f>_xlfn.XLOOKUP(Y143, 'sub-themes'!A:A, 'sub-themes'!H:H, "")</f>
        <v>T4</v>
      </c>
    </row>
    <row r="144" spans="1:26" x14ac:dyDescent="0.2">
      <c r="A144">
        <v>136</v>
      </c>
      <c r="B144">
        <v>205</v>
      </c>
      <c r="C144" t="s">
        <v>7</v>
      </c>
      <c r="D144">
        <v>2</v>
      </c>
      <c r="E144">
        <v>2</v>
      </c>
      <c r="F144" t="s">
        <v>27</v>
      </c>
      <c r="G144" t="s">
        <v>172</v>
      </c>
      <c r="H144" t="str">
        <f t="shared" si="23"/>
        <v>sangbincho/long_context_32k_testing|sangbincho/long_context_16k_testing_2</v>
      </c>
      <c r="I144" t="str">
        <f t="shared" si="18"/>
        <v>205||['remove']||sangbincho/long_context_32k_testing|sangbincho/long_context_16k_testing_2</v>
      </c>
      <c r="J144">
        <f>IF(COUNTIF($I$2:I144, I144)=1, 1, 0)</f>
        <v>0</v>
      </c>
      <c r="K144" t="str">
        <f t="shared" si="19"/>
        <v>205||['remove']||sangbincho/long_context_32k_testing|sangbincho/long_context_16k_testing_2||C40</v>
      </c>
      <c r="L144">
        <f>IF(COUNTIF($K$2:K144, K144)=1, 1, 0)</f>
        <v>0</v>
      </c>
      <c r="M144" t="str">
        <f t="shared" si="24"/>
        <v>205||['remove']||sangbincho/long_context_32k_testing|sangbincho/long_context_16k_testing_2||M37</v>
      </c>
      <c r="N144">
        <f>IF(COUNTIF($M$2:M144, M144)=1, 1, 0)</f>
        <v>0</v>
      </c>
      <c r="O144" t="str">
        <f t="shared" si="25"/>
        <v>205||['remove']||sangbincho/long_context_32k_testing|sangbincho/long_context_16k_testing_2||T4</v>
      </c>
      <c r="P144">
        <f>IF(COUNTIF($O$2:O144, O144)=1, 1, 0)</f>
        <v>0</v>
      </c>
      <c r="Q144" t="str">
        <f t="shared" si="20"/>
        <v>136||C40</v>
      </c>
      <c r="R144">
        <f>IF(COUNTIF($Q$2:Q144, Q144)=1, 1, 0)</f>
        <v>1</v>
      </c>
      <c r="S144" t="str">
        <f t="shared" si="21"/>
        <v>136||M37</v>
      </c>
      <c r="T144">
        <f>IF(COUNTIF($S$2:S144, S144)=1, 1, 0)</f>
        <v>1</v>
      </c>
      <c r="U144" t="str">
        <f t="shared" si="22"/>
        <v>136||T4</v>
      </c>
      <c r="V144">
        <f>IF(COUNTIF($U$2:U144, U144)=1, 1, 0)</f>
        <v>1</v>
      </c>
      <c r="W144" t="s">
        <v>235</v>
      </c>
      <c r="X144" t="s">
        <v>351</v>
      </c>
      <c r="Y144" t="str">
        <f>_xlfn.XLOOKUP(X144, codes!A:A, codes!F:F, "")</f>
        <v>M37</v>
      </c>
      <c r="Z144" t="str">
        <f>_xlfn.XLOOKUP(Y144, 'sub-themes'!A:A, 'sub-themes'!H:H, "")</f>
        <v>T4</v>
      </c>
    </row>
    <row r="145" spans="1:26" x14ac:dyDescent="0.2">
      <c r="A145">
        <v>137</v>
      </c>
      <c r="B145">
        <v>205</v>
      </c>
      <c r="C145" t="s">
        <v>19</v>
      </c>
      <c r="D145">
        <v>2</v>
      </c>
      <c r="E145">
        <v>2</v>
      </c>
      <c r="F145" t="s">
        <v>27</v>
      </c>
      <c r="G145" t="s">
        <v>172</v>
      </c>
      <c r="H145" t="str">
        <f t="shared" si="23"/>
        <v>sangbincho/long_context_32k_testing|sangbincho/long_context_16k_testing_2</v>
      </c>
      <c r="I145" t="str">
        <f t="shared" si="18"/>
        <v>205||['remove']||sangbincho/long_context_32k_testing|sangbincho/long_context_16k_testing_2</v>
      </c>
      <c r="J145">
        <f>IF(COUNTIF($I$2:I145, I145)=1, 1, 0)</f>
        <v>0</v>
      </c>
      <c r="K145" t="str">
        <f t="shared" si="19"/>
        <v>205||['remove']||sangbincho/long_context_32k_testing|sangbincho/long_context_16k_testing_2||C40</v>
      </c>
      <c r="L145">
        <f>IF(COUNTIF($K$2:K145, K145)=1, 1, 0)</f>
        <v>0</v>
      </c>
      <c r="M145" t="str">
        <f t="shared" si="24"/>
        <v>205||['remove']||sangbincho/long_context_32k_testing|sangbincho/long_context_16k_testing_2||M37</v>
      </c>
      <c r="N145">
        <f>IF(COUNTIF($M$2:M145, M145)=1, 1, 0)</f>
        <v>0</v>
      </c>
      <c r="O145" t="str">
        <f t="shared" si="25"/>
        <v>205||['remove']||sangbincho/long_context_32k_testing|sangbincho/long_context_16k_testing_2||T4</v>
      </c>
      <c r="P145">
        <f>IF(COUNTIF($O$2:O145, O145)=1, 1, 0)</f>
        <v>0</v>
      </c>
      <c r="Q145" t="str">
        <f t="shared" si="20"/>
        <v>137||C40</v>
      </c>
      <c r="R145">
        <f>IF(COUNTIF($Q$2:Q145, Q145)=1, 1, 0)</f>
        <v>1</v>
      </c>
      <c r="S145" t="str">
        <f t="shared" si="21"/>
        <v>137||M37</v>
      </c>
      <c r="T145">
        <f>IF(COUNTIF($S$2:S145, S145)=1, 1, 0)</f>
        <v>1</v>
      </c>
      <c r="U145" t="str">
        <f t="shared" si="22"/>
        <v>137||T4</v>
      </c>
      <c r="V145">
        <f>IF(COUNTIF($U$2:U145, U145)=1, 1, 0)</f>
        <v>1</v>
      </c>
      <c r="W145" t="s">
        <v>234</v>
      </c>
      <c r="X145" t="s">
        <v>351</v>
      </c>
      <c r="Y145" t="str">
        <f>_xlfn.XLOOKUP(X145, codes!A:A, codes!F:F, "")</f>
        <v>M37</v>
      </c>
      <c r="Z145" t="str">
        <f>_xlfn.XLOOKUP(Y145, 'sub-themes'!A:A, 'sub-themes'!H:H, "")</f>
        <v>T4</v>
      </c>
    </row>
    <row r="146" spans="1:26" x14ac:dyDescent="0.2">
      <c r="A146">
        <v>138</v>
      </c>
      <c r="B146">
        <v>206</v>
      </c>
      <c r="C146" t="s">
        <v>15</v>
      </c>
      <c r="D146">
        <v>1</v>
      </c>
      <c r="E146">
        <v>1</v>
      </c>
      <c r="F146" t="s">
        <v>8</v>
      </c>
      <c r="G146" t="s">
        <v>173</v>
      </c>
      <c r="H146" t="str">
        <f t="shared" si="23"/>
        <v>qwen/qwen3-0.6b</v>
      </c>
      <c r="I146" t="str">
        <f t="shared" si="18"/>
        <v>206||['add']||qwen/qwen3-0.6b</v>
      </c>
      <c r="J146">
        <f>IF(COUNTIF($I$2:I146, I146)=1, 1, 0)</f>
        <v>1</v>
      </c>
      <c r="K146" t="str">
        <f t="shared" si="19"/>
        <v>206||['add']||qwen/qwen3-0.6b||C57</v>
      </c>
      <c r="L146">
        <f>IF(COUNTIF($K$2:K146, K146)=1, 1, 0)</f>
        <v>1</v>
      </c>
      <c r="M146" t="str">
        <f t="shared" si="24"/>
        <v>206||['add']||qwen/qwen3-0.6b||M1</v>
      </c>
      <c r="N146">
        <f>IF(COUNTIF($M$2:M146, M146)=1, 1, 0)</f>
        <v>1</v>
      </c>
      <c r="O146" t="str">
        <f t="shared" si="25"/>
        <v>206||['add']||qwen/qwen3-0.6b||T1</v>
      </c>
      <c r="P146">
        <f>IF(COUNTIF($O$2:O146, O146)=1, 1, 0)</f>
        <v>1</v>
      </c>
      <c r="Q146" t="str">
        <f t="shared" si="20"/>
        <v>138||C57</v>
      </c>
      <c r="R146">
        <f>IF(COUNTIF($Q$2:Q146, Q146)=1, 1, 0)</f>
        <v>1</v>
      </c>
      <c r="S146" t="str">
        <f t="shared" si="21"/>
        <v>138||M1</v>
      </c>
      <c r="T146">
        <f>IF(COUNTIF($S$2:S146, S146)=1, 1, 0)</f>
        <v>1</v>
      </c>
      <c r="U146" t="str">
        <f t="shared" si="22"/>
        <v>138||T1</v>
      </c>
      <c r="V146">
        <f>IF(COUNTIF($U$2:U146, U146)=1, 1, 0)</f>
        <v>1</v>
      </c>
      <c r="W146" t="s">
        <v>236</v>
      </c>
      <c r="X146" t="s">
        <v>413</v>
      </c>
      <c r="Y146" t="str">
        <f>_xlfn.XLOOKUP(X146, codes!A:A, codes!F:F, "")</f>
        <v>M1</v>
      </c>
      <c r="Z146" t="str">
        <f>_xlfn.XLOOKUP(Y146, 'sub-themes'!A:A, 'sub-themes'!H:H, "")</f>
        <v>T1</v>
      </c>
    </row>
    <row r="147" spans="1:26" x14ac:dyDescent="0.2">
      <c r="A147">
        <v>139</v>
      </c>
      <c r="B147">
        <v>206</v>
      </c>
      <c r="C147" t="s">
        <v>7</v>
      </c>
      <c r="D147">
        <v>1</v>
      </c>
      <c r="E147">
        <v>1</v>
      </c>
      <c r="F147" t="s">
        <v>8</v>
      </c>
      <c r="G147" t="s">
        <v>173</v>
      </c>
      <c r="H147" t="str">
        <f t="shared" si="23"/>
        <v>qwen/qwen3-0.6b</v>
      </c>
      <c r="I147" t="str">
        <f t="shared" si="18"/>
        <v>206||['add']||qwen/qwen3-0.6b</v>
      </c>
      <c r="J147">
        <f>IF(COUNTIF($I$2:I147, I147)=1, 1, 0)</f>
        <v>0</v>
      </c>
      <c r="K147" t="str">
        <f t="shared" si="19"/>
        <v>206||['add']||qwen/qwen3-0.6b||C66</v>
      </c>
      <c r="L147">
        <f>IF(COUNTIF($K$2:K147, K147)=1, 1, 0)</f>
        <v>1</v>
      </c>
      <c r="M147" t="str">
        <f t="shared" si="24"/>
        <v>206||['add']||qwen/qwen3-0.6b||M19</v>
      </c>
      <c r="N147">
        <f>IF(COUNTIF($M$2:M147, M147)=1, 1, 0)</f>
        <v>1</v>
      </c>
      <c r="O147" t="str">
        <f t="shared" si="25"/>
        <v>206||['add']||qwen/qwen3-0.6b||T3</v>
      </c>
      <c r="P147">
        <f>IF(COUNTIF($O$2:O147, O147)=1, 1, 0)</f>
        <v>1</v>
      </c>
      <c r="Q147" t="str">
        <f t="shared" si="20"/>
        <v>139||C66</v>
      </c>
      <c r="R147">
        <f>IF(COUNTIF($Q$2:Q147, Q147)=1, 1, 0)</f>
        <v>1</v>
      </c>
      <c r="S147" t="str">
        <f t="shared" si="21"/>
        <v>139||M19</v>
      </c>
      <c r="T147">
        <f>IF(COUNTIF($S$2:S147, S147)=1, 1, 0)</f>
        <v>1</v>
      </c>
      <c r="U147" t="str">
        <f t="shared" si="22"/>
        <v>139||T3</v>
      </c>
      <c r="V147">
        <f>IF(COUNTIF($U$2:U147, U147)=1, 1, 0)</f>
        <v>1</v>
      </c>
      <c r="W147" t="s">
        <v>429</v>
      </c>
      <c r="X147" t="s">
        <v>426</v>
      </c>
      <c r="Y147" t="str">
        <f>_xlfn.XLOOKUP(X147, codes!A:A, codes!F:F, "")</f>
        <v>M19</v>
      </c>
      <c r="Z147" t="str">
        <f>_xlfn.XLOOKUP(Y147, 'sub-themes'!A:A, 'sub-themes'!H:H, "")</f>
        <v>T3</v>
      </c>
    </row>
    <row r="148" spans="1:26" x14ac:dyDescent="0.2">
      <c r="A148">
        <v>140</v>
      </c>
      <c r="B148">
        <v>206</v>
      </c>
      <c r="C148" t="s">
        <v>19</v>
      </c>
      <c r="D148">
        <v>1</v>
      </c>
      <c r="E148">
        <v>1</v>
      </c>
      <c r="F148" t="s">
        <v>8</v>
      </c>
      <c r="G148" t="s">
        <v>173</v>
      </c>
      <c r="H148" t="str">
        <f t="shared" si="23"/>
        <v>qwen/qwen3-0.6b</v>
      </c>
      <c r="I148" t="str">
        <f t="shared" si="18"/>
        <v>206||['add']||qwen/qwen3-0.6b</v>
      </c>
      <c r="J148">
        <f>IF(COUNTIF($I$2:I148, I148)=1, 1, 0)</f>
        <v>0</v>
      </c>
      <c r="K148" t="str">
        <f t="shared" si="19"/>
        <v>206||['add']||qwen/qwen3-0.6b||C66</v>
      </c>
      <c r="L148">
        <f>IF(COUNTIF($K$2:K148, K148)=1, 1, 0)</f>
        <v>0</v>
      </c>
      <c r="M148" t="str">
        <f t="shared" si="24"/>
        <v>206||['add']||qwen/qwen3-0.6b||M19</v>
      </c>
      <c r="N148">
        <f>IF(COUNTIF($M$2:M148, M148)=1, 1, 0)</f>
        <v>0</v>
      </c>
      <c r="O148" t="str">
        <f t="shared" si="25"/>
        <v>206||['add']||qwen/qwen3-0.6b||T3</v>
      </c>
      <c r="P148">
        <f>IF(COUNTIF($O$2:O148, O148)=1, 1, 0)</f>
        <v>0</v>
      </c>
      <c r="Q148" t="str">
        <f t="shared" si="20"/>
        <v>140||C66</v>
      </c>
      <c r="R148">
        <f>IF(COUNTIF($Q$2:Q148, Q148)=1, 1, 0)</f>
        <v>1</v>
      </c>
      <c r="S148" t="str">
        <f t="shared" si="21"/>
        <v>140||M19</v>
      </c>
      <c r="T148">
        <f>IF(COUNTIF($S$2:S148, S148)=1, 1, 0)</f>
        <v>1</v>
      </c>
      <c r="U148" t="str">
        <f t="shared" si="22"/>
        <v>140||T3</v>
      </c>
      <c r="V148">
        <f>IF(COUNTIF($U$2:U148, U148)=1, 1, 0)</f>
        <v>1</v>
      </c>
      <c r="W148" t="s">
        <v>428</v>
      </c>
      <c r="X148" t="s">
        <v>426</v>
      </c>
      <c r="Y148" t="str">
        <f>_xlfn.XLOOKUP(X148, codes!A:A, codes!F:F, "")</f>
        <v>M19</v>
      </c>
      <c r="Z148" t="str">
        <f>_xlfn.XLOOKUP(Y148, 'sub-themes'!A:A, 'sub-themes'!H:H, "")</f>
        <v>T3</v>
      </c>
    </row>
    <row r="149" spans="1:26" x14ac:dyDescent="0.2">
      <c r="A149">
        <v>141</v>
      </c>
      <c r="B149">
        <v>206</v>
      </c>
      <c r="C149" t="s">
        <v>28</v>
      </c>
      <c r="D149">
        <v>1</v>
      </c>
      <c r="E149">
        <v>1</v>
      </c>
      <c r="F149" t="s">
        <v>8</v>
      </c>
      <c r="G149" t="s">
        <v>173</v>
      </c>
      <c r="H149" t="str">
        <f t="shared" si="23"/>
        <v>qwen/qwen3-0.6b</v>
      </c>
      <c r="I149" t="str">
        <f t="shared" si="18"/>
        <v>206||['add']||qwen/qwen3-0.6b</v>
      </c>
      <c r="J149">
        <f>IF(COUNTIF($I$2:I149, I149)=1, 1, 0)</f>
        <v>0</v>
      </c>
      <c r="K149" t="str">
        <f t="shared" si="19"/>
        <v>206||['add']||qwen/qwen3-0.6b||C66</v>
      </c>
      <c r="L149">
        <f>IF(COUNTIF($K$2:K149, K149)=1, 1, 0)</f>
        <v>0</v>
      </c>
      <c r="M149" t="str">
        <f t="shared" si="24"/>
        <v>206||['add']||qwen/qwen3-0.6b||M19</v>
      </c>
      <c r="N149">
        <f>IF(COUNTIF($M$2:M149, M149)=1, 1, 0)</f>
        <v>0</v>
      </c>
      <c r="O149" t="str">
        <f t="shared" si="25"/>
        <v>206||['add']||qwen/qwen3-0.6b||T3</v>
      </c>
      <c r="P149">
        <f>IF(COUNTIF($O$2:O149, O149)=1, 1, 0)</f>
        <v>0</v>
      </c>
      <c r="Q149" t="str">
        <f t="shared" si="20"/>
        <v>141||C66</v>
      </c>
      <c r="R149">
        <f>IF(COUNTIF($Q$2:Q149, Q149)=1, 1, 0)</f>
        <v>1</v>
      </c>
      <c r="S149" t="str">
        <f t="shared" si="21"/>
        <v>141||M19</v>
      </c>
      <c r="T149">
        <f>IF(COUNTIF($S$2:S149, S149)=1, 1, 0)</f>
        <v>1</v>
      </c>
      <c r="U149" t="str">
        <f t="shared" si="22"/>
        <v>141||T3</v>
      </c>
      <c r="V149">
        <f>IF(COUNTIF($U$2:U149, U149)=1, 1, 0)</f>
        <v>1</v>
      </c>
      <c r="W149" t="s">
        <v>237</v>
      </c>
      <c r="X149" t="s">
        <v>426</v>
      </c>
      <c r="Y149" t="str">
        <f>_xlfn.XLOOKUP(X149, codes!A:A, codes!F:F, "")</f>
        <v>M19</v>
      </c>
      <c r="Z149" t="str">
        <f>_xlfn.XLOOKUP(Y149, 'sub-themes'!A:A, 'sub-themes'!H:H, "")</f>
        <v>T3</v>
      </c>
    </row>
    <row r="150" spans="1:26" x14ac:dyDescent="0.2">
      <c r="A150">
        <v>142</v>
      </c>
      <c r="B150">
        <v>208</v>
      </c>
      <c r="C150" t="s">
        <v>15</v>
      </c>
      <c r="D150">
        <v>1</v>
      </c>
      <c r="E150">
        <v>1</v>
      </c>
      <c r="F150" t="s">
        <v>27</v>
      </c>
      <c r="G150" t="s">
        <v>174</v>
      </c>
      <c r="H150" t="str">
        <f t="shared" si="23"/>
        <v>sangbincho/long_context_16k_testing_1</v>
      </c>
      <c r="I150" t="str">
        <f t="shared" si="18"/>
        <v>208||['remove']||sangbincho/long_context_16k_testing_1</v>
      </c>
      <c r="J150">
        <f>IF(COUNTIF($I$2:I150, I150)=1, 1, 0)</f>
        <v>1</v>
      </c>
      <c r="K150" t="str">
        <f t="shared" si="19"/>
        <v>208||['remove']||sangbincho/long_context_16k_testing_1||C40</v>
      </c>
      <c r="L150">
        <f>IF(COUNTIF($K$2:K150, K150)=1, 1, 0)</f>
        <v>1</v>
      </c>
      <c r="M150" t="str">
        <f t="shared" si="24"/>
        <v>208||['remove']||sangbincho/long_context_16k_testing_1||M37</v>
      </c>
      <c r="N150">
        <f>IF(COUNTIF($M$2:M150, M150)=1, 1, 0)</f>
        <v>1</v>
      </c>
      <c r="O150" t="str">
        <f t="shared" si="25"/>
        <v>208||['remove']||sangbincho/long_context_16k_testing_1||T4</v>
      </c>
      <c r="P150">
        <f>IF(COUNTIF($O$2:O150, O150)=1, 1, 0)</f>
        <v>1</v>
      </c>
      <c r="Q150" t="str">
        <f t="shared" si="20"/>
        <v>142||C40</v>
      </c>
      <c r="R150">
        <f>IF(COUNTIF($Q$2:Q150, Q150)=1, 1, 0)</f>
        <v>1</v>
      </c>
      <c r="S150" t="str">
        <f t="shared" si="21"/>
        <v>142||M37</v>
      </c>
      <c r="T150">
        <f>IF(COUNTIF($S$2:S150, S150)=1, 1, 0)</f>
        <v>1</v>
      </c>
      <c r="U150" t="str">
        <f t="shared" si="22"/>
        <v>142||T4</v>
      </c>
      <c r="V150">
        <f>IF(COUNTIF($U$2:U150, U150)=1, 1, 0)</f>
        <v>1</v>
      </c>
      <c r="W150" t="s">
        <v>175</v>
      </c>
      <c r="X150" t="s">
        <v>351</v>
      </c>
      <c r="Y150" t="str">
        <f>_xlfn.XLOOKUP(X150, codes!A:A, codes!F:F, "")</f>
        <v>M37</v>
      </c>
      <c r="Z150" t="str">
        <f>_xlfn.XLOOKUP(Y150, 'sub-themes'!A:A, 'sub-themes'!H:H, "")</f>
        <v>T4</v>
      </c>
    </row>
    <row r="151" spans="1:26" x14ac:dyDescent="0.2">
      <c r="A151">
        <v>143</v>
      </c>
      <c r="B151">
        <v>208</v>
      </c>
      <c r="C151" t="s">
        <v>7</v>
      </c>
      <c r="D151">
        <v>1</v>
      </c>
      <c r="E151">
        <v>1</v>
      </c>
      <c r="F151" t="s">
        <v>27</v>
      </c>
      <c r="G151" t="s">
        <v>174</v>
      </c>
      <c r="H151" t="str">
        <f t="shared" si="23"/>
        <v>sangbincho/long_context_16k_testing_1</v>
      </c>
      <c r="I151" t="str">
        <f t="shared" si="18"/>
        <v>208||['remove']||sangbincho/long_context_16k_testing_1</v>
      </c>
      <c r="J151">
        <f>IF(COUNTIF($I$2:I151, I151)=1, 1, 0)</f>
        <v>0</v>
      </c>
      <c r="K151" t="str">
        <f t="shared" si="19"/>
        <v>208||['remove']||sangbincho/long_context_16k_testing_1||C40</v>
      </c>
      <c r="L151">
        <f>IF(COUNTIF($K$2:K151, K151)=1, 1, 0)</f>
        <v>0</v>
      </c>
      <c r="M151" t="str">
        <f t="shared" si="24"/>
        <v>208||['remove']||sangbincho/long_context_16k_testing_1||M37</v>
      </c>
      <c r="N151">
        <f>IF(COUNTIF($M$2:M151, M151)=1, 1, 0)</f>
        <v>0</v>
      </c>
      <c r="O151" t="str">
        <f t="shared" si="25"/>
        <v>208||['remove']||sangbincho/long_context_16k_testing_1||T4</v>
      </c>
      <c r="P151">
        <f>IF(COUNTIF($O$2:O151, O151)=1, 1, 0)</f>
        <v>0</v>
      </c>
      <c r="Q151" t="str">
        <f t="shared" si="20"/>
        <v>143||C40</v>
      </c>
      <c r="R151">
        <f>IF(COUNTIF($Q$2:Q151, Q151)=1, 1, 0)</f>
        <v>1</v>
      </c>
      <c r="S151" t="str">
        <f t="shared" si="21"/>
        <v>143||M37</v>
      </c>
      <c r="T151">
        <f>IF(COUNTIF($S$2:S151, S151)=1, 1, 0)</f>
        <v>1</v>
      </c>
      <c r="U151" t="str">
        <f t="shared" si="22"/>
        <v>143||T4</v>
      </c>
      <c r="V151">
        <f>IF(COUNTIF($U$2:U151, U151)=1, 1, 0)</f>
        <v>1</v>
      </c>
      <c r="W151" t="s">
        <v>175</v>
      </c>
      <c r="X151" t="s">
        <v>351</v>
      </c>
      <c r="Y151" t="str">
        <f>_xlfn.XLOOKUP(X151, codes!A:A, codes!F:F, "")</f>
        <v>M37</v>
      </c>
      <c r="Z151" t="str">
        <f>_xlfn.XLOOKUP(Y151, 'sub-themes'!A:A, 'sub-themes'!H:H, "")</f>
        <v>T4</v>
      </c>
    </row>
    <row r="152" spans="1:26" x14ac:dyDescent="0.2">
      <c r="A152">
        <v>144</v>
      </c>
      <c r="B152">
        <v>208</v>
      </c>
      <c r="C152" t="s">
        <v>19</v>
      </c>
      <c r="D152">
        <v>1</v>
      </c>
      <c r="E152">
        <v>1</v>
      </c>
      <c r="F152" t="s">
        <v>27</v>
      </c>
      <c r="G152" t="s">
        <v>174</v>
      </c>
      <c r="H152" t="str">
        <f t="shared" si="23"/>
        <v>sangbincho/long_context_16k_testing_1</v>
      </c>
      <c r="I152" t="str">
        <f t="shared" si="18"/>
        <v>208||['remove']||sangbincho/long_context_16k_testing_1</v>
      </c>
      <c r="J152">
        <f>IF(COUNTIF($I$2:I152, I152)=1, 1, 0)</f>
        <v>0</v>
      </c>
      <c r="K152" t="str">
        <f t="shared" si="19"/>
        <v>208||['remove']||sangbincho/long_context_16k_testing_1||C40</v>
      </c>
      <c r="L152">
        <f>IF(COUNTIF($K$2:K152, K152)=1, 1, 0)</f>
        <v>0</v>
      </c>
      <c r="M152" t="str">
        <f t="shared" si="24"/>
        <v>208||['remove']||sangbincho/long_context_16k_testing_1||M37</v>
      </c>
      <c r="N152">
        <f>IF(COUNTIF($M$2:M152, M152)=1, 1, 0)</f>
        <v>0</v>
      </c>
      <c r="O152" t="str">
        <f t="shared" si="25"/>
        <v>208||['remove']||sangbincho/long_context_16k_testing_1||T4</v>
      </c>
      <c r="P152">
        <f>IF(COUNTIF($O$2:O152, O152)=1, 1, 0)</f>
        <v>0</v>
      </c>
      <c r="Q152" t="str">
        <f t="shared" si="20"/>
        <v>144||C40</v>
      </c>
      <c r="R152">
        <f>IF(COUNTIF($Q$2:Q152, Q152)=1, 1, 0)</f>
        <v>1</v>
      </c>
      <c r="S152" t="str">
        <f t="shared" si="21"/>
        <v>144||M37</v>
      </c>
      <c r="T152">
        <f>IF(COUNTIF($S$2:S152, S152)=1, 1, 0)</f>
        <v>1</v>
      </c>
      <c r="U152" t="str">
        <f t="shared" si="22"/>
        <v>144||T4</v>
      </c>
      <c r="V152">
        <f>IF(COUNTIF($U$2:U152, U152)=1, 1, 0)</f>
        <v>1</v>
      </c>
      <c r="W152" t="s">
        <v>176</v>
      </c>
      <c r="X152" t="s">
        <v>351</v>
      </c>
      <c r="Y152" t="str">
        <f>_xlfn.XLOOKUP(X152, codes!A:A, codes!F:F, "")</f>
        <v>M37</v>
      </c>
      <c r="Z152" t="str">
        <f>_xlfn.XLOOKUP(Y152, 'sub-themes'!A:A, 'sub-themes'!H:H, "")</f>
        <v>T4</v>
      </c>
    </row>
    <row r="153" spans="1:26" x14ac:dyDescent="0.2">
      <c r="A153">
        <v>145</v>
      </c>
      <c r="B153">
        <v>213</v>
      </c>
      <c r="C153" t="s">
        <v>15</v>
      </c>
      <c r="D153">
        <v>2</v>
      </c>
      <c r="E153">
        <v>1</v>
      </c>
      <c r="F153" t="s">
        <v>8</v>
      </c>
      <c r="G153" t="s">
        <v>177</v>
      </c>
      <c r="H153" t="str">
        <f t="shared" si="23"/>
        <v>jamesdolezal/stain-transfer</v>
      </c>
      <c r="I153" t="str">
        <f t="shared" ref="I153:I184" si="26">B153 &amp; "||" &amp; F153 &amp; "||" &amp; H153</f>
        <v>213||['add']||jamesdolezal/stain-transfer</v>
      </c>
      <c r="J153">
        <f>IF(COUNTIF($I$2:I153, I153)=1, 1, 0)</f>
        <v>1</v>
      </c>
      <c r="K153" t="str">
        <f t="shared" si="19"/>
        <v>213||['add']||jamesdolezal/stain-transfer||C41</v>
      </c>
      <c r="L153">
        <f>IF(COUNTIF($K$2:K153, K153)=1, 1, 0)</f>
        <v>1</v>
      </c>
      <c r="M153" t="str">
        <f t="shared" si="24"/>
        <v>213||['add']||jamesdolezal/stain-transfer||M4</v>
      </c>
      <c r="N153">
        <f>IF(COUNTIF($M$2:M153, M153)=1, 1, 0)</f>
        <v>1</v>
      </c>
      <c r="O153" t="str">
        <f t="shared" si="25"/>
        <v>213||['add']||jamesdolezal/stain-transfer||T1</v>
      </c>
      <c r="P153">
        <f>IF(COUNTIF($O$2:O153, O153)=1, 1, 0)</f>
        <v>1</v>
      </c>
      <c r="Q153" t="str">
        <f t="shared" si="20"/>
        <v>145||C41</v>
      </c>
      <c r="R153">
        <f>IF(COUNTIF($Q$2:Q153, Q153)=1, 1, 0)</f>
        <v>1</v>
      </c>
      <c r="S153" t="str">
        <f t="shared" si="21"/>
        <v>145||M4</v>
      </c>
      <c r="T153">
        <f>IF(COUNTIF($S$2:S153, S153)=1, 1, 0)</f>
        <v>1</v>
      </c>
      <c r="U153" t="str">
        <f t="shared" si="22"/>
        <v>145||T1</v>
      </c>
      <c r="V153">
        <f>IF(COUNTIF($U$2:U153, U153)=1, 1, 0)</f>
        <v>1</v>
      </c>
      <c r="W153" t="s">
        <v>238</v>
      </c>
      <c r="X153" t="s">
        <v>352</v>
      </c>
      <c r="Y153" t="str">
        <f>_xlfn.XLOOKUP(X153, codes!A:A, codes!F:F, "")</f>
        <v>M4</v>
      </c>
      <c r="Z153" t="str">
        <f>_xlfn.XLOOKUP(Y153, 'sub-themes'!A:A, 'sub-themes'!H:H, "")</f>
        <v>T1</v>
      </c>
    </row>
    <row r="154" spans="1:26" x14ac:dyDescent="0.2">
      <c r="A154">
        <v>146</v>
      </c>
      <c r="B154">
        <v>213</v>
      </c>
      <c r="C154" t="s">
        <v>7</v>
      </c>
      <c r="D154">
        <v>2</v>
      </c>
      <c r="E154">
        <v>1</v>
      </c>
      <c r="F154" t="s">
        <v>8</v>
      </c>
      <c r="G154" t="s">
        <v>177</v>
      </c>
      <c r="H154" t="str">
        <f t="shared" si="23"/>
        <v>jamesdolezal/stain-transfer</v>
      </c>
      <c r="I154" t="str">
        <f t="shared" si="26"/>
        <v>213||['add']||jamesdolezal/stain-transfer</v>
      </c>
      <c r="J154">
        <f>IF(COUNTIF($I$2:I154, I154)=1, 1, 0)</f>
        <v>0</v>
      </c>
      <c r="K154" t="str">
        <f t="shared" si="19"/>
        <v>213||['add']||jamesdolezal/stain-transfer||C41</v>
      </c>
      <c r="L154">
        <f>IF(COUNTIF($K$2:K154, K154)=1, 1, 0)</f>
        <v>0</v>
      </c>
      <c r="M154" t="str">
        <f t="shared" si="24"/>
        <v>213||['add']||jamesdolezal/stain-transfer||M4</v>
      </c>
      <c r="N154">
        <f>IF(COUNTIF($M$2:M154, M154)=1, 1, 0)</f>
        <v>0</v>
      </c>
      <c r="O154" t="str">
        <f t="shared" si="25"/>
        <v>213||['add']||jamesdolezal/stain-transfer||T1</v>
      </c>
      <c r="P154">
        <f>IF(COUNTIF($O$2:O154, O154)=1, 1, 0)</f>
        <v>0</v>
      </c>
      <c r="Q154" t="str">
        <f t="shared" si="20"/>
        <v>146||C41</v>
      </c>
      <c r="R154">
        <f>IF(COUNTIF($Q$2:Q154, Q154)=1, 1, 0)</f>
        <v>1</v>
      </c>
      <c r="S154" t="str">
        <f t="shared" si="21"/>
        <v>146||M4</v>
      </c>
      <c r="T154">
        <f>IF(COUNTIF($S$2:S154, S154)=1, 1, 0)</f>
        <v>1</v>
      </c>
      <c r="U154" t="str">
        <f t="shared" si="22"/>
        <v>146||T1</v>
      </c>
      <c r="V154">
        <f>IF(COUNTIF($U$2:U154, U154)=1, 1, 0)</f>
        <v>1</v>
      </c>
      <c r="W154" t="s">
        <v>238</v>
      </c>
      <c r="X154" t="s">
        <v>352</v>
      </c>
      <c r="Y154" t="str">
        <f>_xlfn.XLOOKUP(X154, codes!A:A, codes!F:F, "")</f>
        <v>M4</v>
      </c>
      <c r="Z154" t="str">
        <f>_xlfn.XLOOKUP(Y154, 'sub-themes'!A:A, 'sub-themes'!H:H, "")</f>
        <v>T1</v>
      </c>
    </row>
    <row r="155" spans="1:26" x14ac:dyDescent="0.2">
      <c r="A155">
        <v>147</v>
      </c>
      <c r="B155">
        <v>214</v>
      </c>
      <c r="C155" t="s">
        <v>7</v>
      </c>
      <c r="D155">
        <v>2</v>
      </c>
      <c r="E155">
        <v>1</v>
      </c>
      <c r="F155" t="s">
        <v>8</v>
      </c>
      <c r="G155" t="s">
        <v>22</v>
      </c>
      <c r="H155" t="str">
        <f t="shared" si="23"/>
        <v>google-bert/bert-base-uncased</v>
      </c>
      <c r="I155" t="str">
        <f t="shared" si="26"/>
        <v>214||['add']||google-bert/bert-base-uncased</v>
      </c>
      <c r="J155">
        <f>IF(COUNTIF($I$2:I155, I155)=1, 1, 0)</f>
        <v>1</v>
      </c>
      <c r="K155" t="str">
        <f t="shared" si="19"/>
        <v>214||['add']||google-bert/bert-base-uncased||C62</v>
      </c>
      <c r="L155">
        <f>IF(COUNTIF($K$2:K155, K155)=1, 1, 0)</f>
        <v>1</v>
      </c>
      <c r="M155" t="str">
        <f t="shared" si="24"/>
        <v>214||['add']||google-bert/bert-base-uncased||M11</v>
      </c>
      <c r="N155">
        <f>IF(COUNTIF($M$2:M155, M155)=1, 1, 0)</f>
        <v>1</v>
      </c>
      <c r="O155" t="str">
        <f t="shared" si="25"/>
        <v>214||['add']||google-bert/bert-base-uncased||T3</v>
      </c>
      <c r="P155">
        <f>IF(COUNTIF($O$2:O155, O155)=1, 1, 0)</f>
        <v>1</v>
      </c>
      <c r="Q155" t="str">
        <f t="shared" si="20"/>
        <v>147||C62</v>
      </c>
      <c r="R155">
        <f>IF(COUNTIF($Q$2:Q155, Q155)=1, 1, 0)</f>
        <v>1</v>
      </c>
      <c r="S155" t="str">
        <f t="shared" si="21"/>
        <v>147||M11</v>
      </c>
      <c r="T155">
        <f>IF(COUNTIF($S$2:S155, S155)=1, 1, 0)</f>
        <v>1</v>
      </c>
      <c r="U155" t="str">
        <f t="shared" si="22"/>
        <v>147||T3</v>
      </c>
      <c r="V155">
        <f>IF(COUNTIF($U$2:U155, U155)=1, 1, 0)</f>
        <v>1</v>
      </c>
      <c r="W155" t="s">
        <v>239</v>
      </c>
      <c r="X155" t="s">
        <v>425</v>
      </c>
      <c r="Y155" t="str">
        <f>_xlfn.XLOOKUP(X155, codes!A:A, codes!F:F, "")</f>
        <v>M11</v>
      </c>
      <c r="Z155" t="str">
        <f>_xlfn.XLOOKUP(Y155, 'sub-themes'!A:A, 'sub-themes'!H:H, "")</f>
        <v>T3</v>
      </c>
    </row>
    <row r="156" spans="1:26" x14ac:dyDescent="0.2">
      <c r="A156">
        <v>148</v>
      </c>
      <c r="B156">
        <v>214</v>
      </c>
      <c r="C156" t="s">
        <v>19</v>
      </c>
      <c r="D156">
        <v>2</v>
      </c>
      <c r="E156">
        <v>1</v>
      </c>
      <c r="F156" t="s">
        <v>8</v>
      </c>
      <c r="G156" t="s">
        <v>22</v>
      </c>
      <c r="H156" t="str">
        <f t="shared" si="23"/>
        <v>google-bert/bert-base-uncased</v>
      </c>
      <c r="I156" t="str">
        <f t="shared" si="26"/>
        <v>214||['add']||google-bert/bert-base-uncased</v>
      </c>
      <c r="J156">
        <f>IF(COUNTIF($I$2:I156, I156)=1, 1, 0)</f>
        <v>0</v>
      </c>
      <c r="K156" t="str">
        <f t="shared" si="19"/>
        <v>214||['add']||google-bert/bert-base-uncased||C62</v>
      </c>
      <c r="L156">
        <f>IF(COUNTIF($K$2:K156, K156)=1, 1, 0)</f>
        <v>0</v>
      </c>
      <c r="M156" t="str">
        <f t="shared" si="24"/>
        <v>214||['add']||google-bert/bert-base-uncased||M11</v>
      </c>
      <c r="N156">
        <f>IF(COUNTIF($M$2:M156, M156)=1, 1, 0)</f>
        <v>0</v>
      </c>
      <c r="O156" t="str">
        <f t="shared" si="25"/>
        <v>214||['add']||google-bert/bert-base-uncased||T3</v>
      </c>
      <c r="P156">
        <f>IF(COUNTIF($O$2:O156, O156)=1, 1, 0)</f>
        <v>0</v>
      </c>
      <c r="Q156" t="str">
        <f t="shared" si="20"/>
        <v>148||C62</v>
      </c>
      <c r="R156">
        <f>IF(COUNTIF($Q$2:Q156, Q156)=1, 1, 0)</f>
        <v>1</v>
      </c>
      <c r="S156" t="str">
        <f t="shared" si="21"/>
        <v>148||M11</v>
      </c>
      <c r="T156">
        <f>IF(COUNTIF($S$2:S156, S156)=1, 1, 0)</f>
        <v>1</v>
      </c>
      <c r="U156" t="str">
        <f t="shared" si="22"/>
        <v>148||T3</v>
      </c>
      <c r="V156">
        <f>IF(COUNTIF($U$2:U156, U156)=1, 1, 0)</f>
        <v>1</v>
      </c>
      <c r="W156" t="s">
        <v>239</v>
      </c>
      <c r="X156" t="s">
        <v>425</v>
      </c>
      <c r="Y156" t="str">
        <f>_xlfn.XLOOKUP(X156, codes!A:A, codes!F:F, "")</f>
        <v>M11</v>
      </c>
      <c r="Z156" t="str">
        <f>_xlfn.XLOOKUP(Y156, 'sub-themes'!A:A, 'sub-themes'!H:H, "")</f>
        <v>T3</v>
      </c>
    </row>
    <row r="157" spans="1:26" x14ac:dyDescent="0.2">
      <c r="A157">
        <v>149</v>
      </c>
      <c r="B157">
        <v>216</v>
      </c>
      <c r="C157" t="s">
        <v>15</v>
      </c>
      <c r="D157">
        <v>2</v>
      </c>
      <c r="E157">
        <v>1</v>
      </c>
      <c r="F157" t="s">
        <v>8</v>
      </c>
      <c r="G157" t="s">
        <v>178</v>
      </c>
      <c r="H157" t="str">
        <f t="shared" si="23"/>
        <v>qwen/qwen2.5-3b-instruct</v>
      </c>
      <c r="I157" t="str">
        <f t="shared" si="26"/>
        <v>216||['add']||qwen/qwen2.5-3b-instruct</v>
      </c>
      <c r="J157">
        <f>IF(COUNTIF($I$2:I157, I157)=1, 1, 0)</f>
        <v>1</v>
      </c>
      <c r="K157" t="str">
        <f t="shared" si="19"/>
        <v>216||['add']||qwen/qwen2.5-3b-instruct||C26</v>
      </c>
      <c r="L157">
        <f>IF(COUNTIF($K$2:K157, K157)=1, 1, 0)</f>
        <v>1</v>
      </c>
      <c r="M157" t="str">
        <f t="shared" si="24"/>
        <v>216||['add']||qwen/qwen2.5-3b-instruct||M26</v>
      </c>
      <c r="N157">
        <f>IF(COUNTIF($M$2:M157, M157)=1, 1, 0)</f>
        <v>1</v>
      </c>
      <c r="O157" t="str">
        <f t="shared" si="25"/>
        <v>216||['add']||qwen/qwen2.5-3b-instruct||T1</v>
      </c>
      <c r="P157">
        <f>IF(COUNTIF($O$2:O157, O157)=1, 1, 0)</f>
        <v>1</v>
      </c>
      <c r="Q157" t="str">
        <f t="shared" si="20"/>
        <v>149||C26</v>
      </c>
      <c r="R157">
        <f>IF(COUNTIF($Q$2:Q157, Q157)=1, 1, 0)</f>
        <v>1</v>
      </c>
      <c r="S157" t="str">
        <f t="shared" si="21"/>
        <v>149||M26</v>
      </c>
      <c r="T157">
        <f>IF(COUNTIF($S$2:S157, S157)=1, 1, 0)</f>
        <v>1</v>
      </c>
      <c r="U157" t="str">
        <f t="shared" si="22"/>
        <v>149||T1</v>
      </c>
      <c r="V157">
        <f>IF(COUNTIF($U$2:U157, U157)=1, 1, 0)</f>
        <v>1</v>
      </c>
      <c r="W157" t="s">
        <v>240</v>
      </c>
      <c r="X157" t="s">
        <v>326</v>
      </c>
      <c r="Y157" t="str">
        <f>_xlfn.XLOOKUP(X157, codes!A:A, codes!F:F, "")</f>
        <v>M26</v>
      </c>
      <c r="Z157" t="str">
        <f>_xlfn.XLOOKUP(Y157, 'sub-themes'!A:A, 'sub-themes'!H:H, "")</f>
        <v>T1</v>
      </c>
    </row>
    <row r="158" spans="1:26" x14ac:dyDescent="0.2">
      <c r="A158">
        <v>150</v>
      </c>
      <c r="B158">
        <v>216</v>
      </c>
      <c r="C158" t="s">
        <v>7</v>
      </c>
      <c r="D158">
        <v>2</v>
      </c>
      <c r="E158">
        <v>1</v>
      </c>
      <c r="F158" t="s">
        <v>8</v>
      </c>
      <c r="G158" t="s">
        <v>178</v>
      </c>
      <c r="H158" t="str">
        <f t="shared" si="23"/>
        <v>qwen/qwen2.5-3b-instruct</v>
      </c>
      <c r="I158" t="str">
        <f t="shared" si="26"/>
        <v>216||['add']||qwen/qwen2.5-3b-instruct</v>
      </c>
      <c r="J158">
        <f>IF(COUNTIF($I$2:I158, I158)=1, 1, 0)</f>
        <v>0</v>
      </c>
      <c r="K158" t="str">
        <f t="shared" si="19"/>
        <v>216||['add']||qwen/qwen2.5-3b-instruct||C26</v>
      </c>
      <c r="L158">
        <f>IF(COUNTIF($K$2:K158, K158)=1, 1, 0)</f>
        <v>0</v>
      </c>
      <c r="M158" t="str">
        <f t="shared" si="24"/>
        <v>216||['add']||qwen/qwen2.5-3b-instruct||M26</v>
      </c>
      <c r="N158">
        <f>IF(COUNTIF($M$2:M158, M158)=1, 1, 0)</f>
        <v>0</v>
      </c>
      <c r="O158" t="str">
        <f t="shared" si="25"/>
        <v>216||['add']||qwen/qwen2.5-3b-instruct||T1</v>
      </c>
      <c r="P158">
        <f>IF(COUNTIF($O$2:O158, O158)=1, 1, 0)</f>
        <v>0</v>
      </c>
      <c r="Q158" t="str">
        <f t="shared" si="20"/>
        <v>150||C26</v>
      </c>
      <c r="R158">
        <f>IF(COUNTIF($Q$2:Q158, Q158)=1, 1, 0)</f>
        <v>1</v>
      </c>
      <c r="S158" t="str">
        <f t="shared" si="21"/>
        <v>150||M26</v>
      </c>
      <c r="T158">
        <f>IF(COUNTIF($S$2:S158, S158)=1, 1, 0)</f>
        <v>1</v>
      </c>
      <c r="U158" t="str">
        <f t="shared" si="22"/>
        <v>150||T1</v>
      </c>
      <c r="V158">
        <f>IF(COUNTIF($U$2:U158, U158)=1, 1, 0)</f>
        <v>1</v>
      </c>
      <c r="W158" t="s">
        <v>241</v>
      </c>
      <c r="X158" t="s">
        <v>326</v>
      </c>
      <c r="Y158" t="str">
        <f>_xlfn.XLOOKUP(X158, codes!A:A, codes!F:F, "")</f>
        <v>M26</v>
      </c>
      <c r="Z158" t="str">
        <f>_xlfn.XLOOKUP(Y158, 'sub-themes'!A:A, 'sub-themes'!H:H, "")</f>
        <v>T1</v>
      </c>
    </row>
    <row r="159" spans="1:26" x14ac:dyDescent="0.2">
      <c r="A159">
        <v>151</v>
      </c>
      <c r="B159">
        <v>216</v>
      </c>
      <c r="C159" t="s">
        <v>11</v>
      </c>
      <c r="D159">
        <v>2</v>
      </c>
      <c r="E159">
        <v>1</v>
      </c>
      <c r="F159" t="s">
        <v>8</v>
      </c>
      <c r="G159" t="s">
        <v>178</v>
      </c>
      <c r="H159" t="str">
        <f t="shared" si="23"/>
        <v>qwen/qwen2.5-3b-instruct</v>
      </c>
      <c r="I159" t="str">
        <f t="shared" si="26"/>
        <v>216||['add']||qwen/qwen2.5-3b-instruct</v>
      </c>
      <c r="J159">
        <f>IF(COUNTIF($I$2:I159, I159)=1, 1, 0)</f>
        <v>0</v>
      </c>
      <c r="K159" t="str">
        <f t="shared" si="19"/>
        <v>216||['add']||qwen/qwen2.5-3b-instruct||C26</v>
      </c>
      <c r="L159">
        <f>IF(COUNTIF($K$2:K159, K159)=1, 1, 0)</f>
        <v>0</v>
      </c>
      <c r="M159" t="str">
        <f t="shared" si="24"/>
        <v>216||['add']||qwen/qwen2.5-3b-instruct||M26</v>
      </c>
      <c r="N159">
        <f>IF(COUNTIF($M$2:M159, M159)=1, 1, 0)</f>
        <v>0</v>
      </c>
      <c r="O159" t="str">
        <f t="shared" si="25"/>
        <v>216||['add']||qwen/qwen2.5-3b-instruct||T1</v>
      </c>
      <c r="P159">
        <f>IF(COUNTIF($O$2:O159, O159)=1, 1, 0)</f>
        <v>0</v>
      </c>
      <c r="Q159" t="str">
        <f t="shared" si="20"/>
        <v>151||C26</v>
      </c>
      <c r="R159">
        <f>IF(COUNTIF($Q$2:Q159, Q159)=1, 1, 0)</f>
        <v>1</v>
      </c>
      <c r="S159" t="str">
        <f t="shared" si="21"/>
        <v>151||M26</v>
      </c>
      <c r="T159">
        <f>IF(COUNTIF($S$2:S159, S159)=1, 1, 0)</f>
        <v>1</v>
      </c>
      <c r="U159" t="str">
        <f t="shared" si="22"/>
        <v>151||T1</v>
      </c>
      <c r="V159">
        <f>IF(COUNTIF($U$2:U159, U159)=1, 1, 0)</f>
        <v>1</v>
      </c>
      <c r="W159" t="s">
        <v>242</v>
      </c>
      <c r="X159" t="s">
        <v>326</v>
      </c>
      <c r="Y159" t="str">
        <f>_xlfn.XLOOKUP(X159, codes!A:A, codes!F:F, "")</f>
        <v>M26</v>
      </c>
      <c r="Z159" t="str">
        <f>_xlfn.XLOOKUP(Y159, 'sub-themes'!A:A, 'sub-themes'!H:H, "")</f>
        <v>T1</v>
      </c>
    </row>
    <row r="160" spans="1:26" x14ac:dyDescent="0.2">
      <c r="A160">
        <v>152</v>
      </c>
      <c r="B160">
        <v>217</v>
      </c>
      <c r="C160" t="s">
        <v>7</v>
      </c>
      <c r="D160">
        <v>1</v>
      </c>
      <c r="E160">
        <v>1</v>
      </c>
      <c r="F160" t="s">
        <v>29</v>
      </c>
      <c r="G160" t="s">
        <v>179</v>
      </c>
      <c r="H160" t="str">
        <f t="shared" si="23"/>
        <v>casperhansen/mistral-7b-instruct-v0.1-awq</v>
      </c>
      <c r="I160" t="str">
        <f t="shared" si="26"/>
        <v>217||['migrate']||casperhansen/mistral-7b-instruct-v0.1-awq</v>
      </c>
      <c r="J160">
        <f>IF(COUNTIF($I$2:I160, I160)=1, 1, 0)</f>
        <v>1</v>
      </c>
      <c r="K160" t="str">
        <f t="shared" si="19"/>
        <v>217||['migrate']||casperhansen/mistral-7b-instruct-v0.1-awq||C9</v>
      </c>
      <c r="L160">
        <f>IF(COUNTIF($K$2:K160, K160)=1, 1, 0)</f>
        <v>1</v>
      </c>
      <c r="M160" t="str">
        <f t="shared" si="24"/>
        <v>217||['migrate']||casperhansen/mistral-7b-instruct-v0.1-awq||M8</v>
      </c>
      <c r="N160">
        <f>IF(COUNTIF($M$2:M160, M160)=1, 1, 0)</f>
        <v>1</v>
      </c>
      <c r="O160" t="str">
        <f t="shared" si="25"/>
        <v>217||['migrate']||casperhansen/mistral-7b-instruct-v0.1-awq||T4</v>
      </c>
      <c r="P160">
        <f>IF(COUNTIF($O$2:O160, O160)=1, 1, 0)</f>
        <v>1</v>
      </c>
      <c r="Q160" t="str">
        <f t="shared" si="20"/>
        <v>152||C9</v>
      </c>
      <c r="R160">
        <f>IF(COUNTIF($Q$2:Q160, Q160)=1, 1, 0)</f>
        <v>1</v>
      </c>
      <c r="S160" t="str">
        <f t="shared" si="21"/>
        <v>152||M8</v>
      </c>
      <c r="T160">
        <f>IF(COUNTIF($S$2:S160, S160)=1, 1, 0)</f>
        <v>1</v>
      </c>
      <c r="U160" t="str">
        <f t="shared" si="22"/>
        <v>152||T4</v>
      </c>
      <c r="V160">
        <f>IF(COUNTIF($U$2:U160, U160)=1, 1, 0)</f>
        <v>1</v>
      </c>
      <c r="W160" t="s">
        <v>243</v>
      </c>
      <c r="X160" t="s">
        <v>299</v>
      </c>
      <c r="Y160" t="str">
        <f>_xlfn.XLOOKUP(X160, codes!A:A, codes!F:F, "")</f>
        <v>M8</v>
      </c>
      <c r="Z160" t="str">
        <f>_xlfn.XLOOKUP(Y160, 'sub-themes'!A:A, 'sub-themes'!H:H, "")</f>
        <v>T4</v>
      </c>
    </row>
    <row r="161" spans="1:26" x14ac:dyDescent="0.2">
      <c r="A161">
        <v>153</v>
      </c>
      <c r="B161">
        <v>219</v>
      </c>
      <c r="C161" t="s">
        <v>7</v>
      </c>
      <c r="D161">
        <v>3</v>
      </c>
      <c r="E161">
        <v>1</v>
      </c>
      <c r="F161" t="s">
        <v>8</v>
      </c>
      <c r="G161" t="s">
        <v>180</v>
      </c>
      <c r="H161" t="str">
        <f t="shared" si="23"/>
        <v>nousresearch/meta-llama-3-8b-instruct</v>
      </c>
      <c r="I161" t="str">
        <f t="shared" si="26"/>
        <v>219||['add']||nousresearch/meta-llama-3-8b-instruct</v>
      </c>
      <c r="J161">
        <f>IF(COUNTIF($I$2:I161, I161)=1, 1, 0)</f>
        <v>1</v>
      </c>
      <c r="K161" t="str">
        <f t="shared" si="19"/>
        <v>219||['add']||nousresearch/meta-llama-3-8b-instruct||C21</v>
      </c>
      <c r="L161">
        <f>IF(COUNTIF($K$2:K161, K161)=1, 1, 0)</f>
        <v>1</v>
      </c>
      <c r="M161" t="str">
        <f t="shared" si="24"/>
        <v>219||['add']||nousresearch/meta-llama-3-8b-instruct||M2</v>
      </c>
      <c r="N161">
        <f>IF(COUNTIF($M$2:M161, M161)=1, 1, 0)</f>
        <v>1</v>
      </c>
      <c r="O161" t="str">
        <f t="shared" si="25"/>
        <v>219||['add']||nousresearch/meta-llama-3-8b-instruct||T2</v>
      </c>
      <c r="P161">
        <f>IF(COUNTIF($O$2:O161, O161)=1, 1, 0)</f>
        <v>1</v>
      </c>
      <c r="Q161" t="str">
        <f t="shared" si="20"/>
        <v>153||C21</v>
      </c>
      <c r="R161">
        <f>IF(COUNTIF($Q$2:Q161, Q161)=1, 1, 0)</f>
        <v>1</v>
      </c>
      <c r="S161" t="str">
        <f t="shared" si="21"/>
        <v>153||M2</v>
      </c>
      <c r="T161">
        <f>IF(COUNTIF($S$2:S161, S161)=1, 1, 0)</f>
        <v>1</v>
      </c>
      <c r="U161" t="str">
        <f t="shared" si="22"/>
        <v>153||T2</v>
      </c>
      <c r="V161">
        <f>IF(COUNTIF($U$2:U161, U161)=1, 1, 0)</f>
        <v>1</v>
      </c>
      <c r="W161" t="s">
        <v>244</v>
      </c>
      <c r="X161" t="s">
        <v>319</v>
      </c>
      <c r="Y161" t="str">
        <f>_xlfn.XLOOKUP(X161, codes!A:A, codes!F:F, "")</f>
        <v>M2</v>
      </c>
      <c r="Z161" t="str">
        <f>_xlfn.XLOOKUP(Y161, 'sub-themes'!A:A, 'sub-themes'!H:H, "")</f>
        <v>T2</v>
      </c>
    </row>
    <row r="162" spans="1:26" x14ac:dyDescent="0.2">
      <c r="A162">
        <v>154</v>
      </c>
      <c r="B162">
        <v>220</v>
      </c>
      <c r="C162" t="s">
        <v>15</v>
      </c>
      <c r="D162">
        <v>1</v>
      </c>
      <c r="E162">
        <v>1</v>
      </c>
      <c r="F162" t="s">
        <v>8</v>
      </c>
      <c r="G162" t="s">
        <v>181</v>
      </c>
      <c r="H162" t="str">
        <f t="shared" si="23"/>
        <v>qwen/qwen2.5-0.5b</v>
      </c>
      <c r="I162" t="str">
        <f t="shared" si="26"/>
        <v>220||['add']||qwen/qwen2.5-0.5b</v>
      </c>
      <c r="J162">
        <f>IF(COUNTIF($I$2:I162, I162)=1, 1, 0)</f>
        <v>1</v>
      </c>
      <c r="K162" t="str">
        <f t="shared" si="19"/>
        <v>220||['add']||qwen/qwen2.5-0.5b||C72</v>
      </c>
      <c r="L162">
        <f>IF(COUNTIF($K$2:K162, K162)=1, 1, 0)</f>
        <v>1</v>
      </c>
      <c r="M162" t="str">
        <f t="shared" si="24"/>
        <v>220||['add']||qwen/qwen2.5-0.5b||M2</v>
      </c>
      <c r="N162">
        <f>IF(COUNTIF($M$2:M162, M162)=1, 1, 0)</f>
        <v>1</v>
      </c>
      <c r="O162" t="str">
        <f t="shared" si="25"/>
        <v>220||['add']||qwen/qwen2.5-0.5b||T2</v>
      </c>
      <c r="P162">
        <f>IF(COUNTIF($O$2:O162, O162)=1, 1, 0)</f>
        <v>1</v>
      </c>
      <c r="Q162" t="str">
        <f t="shared" si="20"/>
        <v>154||C72</v>
      </c>
      <c r="R162">
        <f>IF(COUNTIF($Q$2:Q162, Q162)=1, 1, 0)</f>
        <v>1</v>
      </c>
      <c r="S162" t="str">
        <f t="shared" si="21"/>
        <v>154||M2</v>
      </c>
      <c r="T162">
        <f>IF(COUNTIF($S$2:S162, S162)=1, 1, 0)</f>
        <v>1</v>
      </c>
      <c r="U162" t="str">
        <f t="shared" si="22"/>
        <v>154||T2</v>
      </c>
      <c r="V162">
        <f>IF(COUNTIF($U$2:U162, U162)=1, 1, 0)</f>
        <v>1</v>
      </c>
      <c r="W162" t="s">
        <v>246</v>
      </c>
      <c r="X162" t="s">
        <v>443</v>
      </c>
      <c r="Y162" t="str">
        <f>_xlfn.XLOOKUP(X162, codes!A:A, codes!F:F, "")</f>
        <v>M2</v>
      </c>
      <c r="Z162" t="str">
        <f>_xlfn.XLOOKUP(Y162, 'sub-themes'!A:A, 'sub-themes'!H:H, "")</f>
        <v>T2</v>
      </c>
    </row>
    <row r="163" spans="1:26" x14ac:dyDescent="0.2">
      <c r="A163">
        <v>155</v>
      </c>
      <c r="B163">
        <v>220</v>
      </c>
      <c r="C163" t="s">
        <v>7</v>
      </c>
      <c r="D163">
        <v>1</v>
      </c>
      <c r="E163">
        <v>1</v>
      </c>
      <c r="F163" t="s">
        <v>8</v>
      </c>
      <c r="G163" t="s">
        <v>181</v>
      </c>
      <c r="H163" t="str">
        <f t="shared" si="23"/>
        <v>qwen/qwen2.5-0.5b</v>
      </c>
      <c r="I163" t="str">
        <f t="shared" si="26"/>
        <v>220||['add']||qwen/qwen2.5-0.5b</v>
      </c>
      <c r="J163">
        <f>IF(COUNTIF($I$2:I163, I163)=1, 1, 0)</f>
        <v>0</v>
      </c>
      <c r="K163" t="str">
        <f t="shared" si="19"/>
        <v>220||['add']||qwen/qwen2.5-0.5b||C72</v>
      </c>
      <c r="L163">
        <f>IF(COUNTIF($K$2:K163, K163)=1, 1, 0)</f>
        <v>0</v>
      </c>
      <c r="M163" t="str">
        <f t="shared" si="24"/>
        <v>220||['add']||qwen/qwen2.5-0.5b||M2</v>
      </c>
      <c r="N163">
        <f>IF(COUNTIF($M$2:M163, M163)=1, 1, 0)</f>
        <v>0</v>
      </c>
      <c r="O163" t="str">
        <f t="shared" si="25"/>
        <v>220||['add']||qwen/qwen2.5-0.5b||T2</v>
      </c>
      <c r="P163">
        <f>IF(COUNTIF($O$2:O163, O163)=1, 1, 0)</f>
        <v>0</v>
      </c>
      <c r="Q163" t="str">
        <f t="shared" si="20"/>
        <v>155||C72</v>
      </c>
      <c r="R163">
        <f>IF(COUNTIF($Q$2:Q163, Q163)=1, 1, 0)</f>
        <v>1</v>
      </c>
      <c r="S163" t="str">
        <f t="shared" si="21"/>
        <v>155||M2</v>
      </c>
      <c r="T163">
        <f>IF(COUNTIF($S$2:S163, S163)=1, 1, 0)</f>
        <v>1</v>
      </c>
      <c r="U163" t="str">
        <f t="shared" si="22"/>
        <v>155||T2</v>
      </c>
      <c r="V163">
        <f>IF(COUNTIF($U$2:U163, U163)=1, 1, 0)</f>
        <v>1</v>
      </c>
      <c r="W163" t="s">
        <v>246</v>
      </c>
      <c r="X163" t="s">
        <v>443</v>
      </c>
      <c r="Y163" t="str">
        <f>_xlfn.XLOOKUP(X163, codes!A:A, codes!F:F, "")</f>
        <v>M2</v>
      </c>
      <c r="Z163" t="str">
        <f>_xlfn.XLOOKUP(Y163, 'sub-themes'!A:A, 'sub-themes'!H:H, "")</f>
        <v>T2</v>
      </c>
    </row>
    <row r="164" spans="1:26" x14ac:dyDescent="0.2">
      <c r="A164">
        <v>156</v>
      </c>
      <c r="B164">
        <v>220</v>
      </c>
      <c r="C164" t="s">
        <v>19</v>
      </c>
      <c r="D164">
        <v>1</v>
      </c>
      <c r="E164">
        <v>1</v>
      </c>
      <c r="F164" t="s">
        <v>8</v>
      </c>
      <c r="G164" t="s">
        <v>181</v>
      </c>
      <c r="H164" t="str">
        <f t="shared" si="23"/>
        <v>qwen/qwen2.5-0.5b</v>
      </c>
      <c r="I164" t="str">
        <f t="shared" si="26"/>
        <v>220||['add']||qwen/qwen2.5-0.5b</v>
      </c>
      <c r="J164">
        <f>IF(COUNTIF($I$2:I164, I164)=1, 1, 0)</f>
        <v>0</v>
      </c>
      <c r="K164" t="str">
        <f t="shared" si="19"/>
        <v>220||['add']||qwen/qwen2.5-0.5b||C72</v>
      </c>
      <c r="L164">
        <f>IF(COUNTIF($K$2:K164, K164)=1, 1, 0)</f>
        <v>0</v>
      </c>
      <c r="M164" t="str">
        <f t="shared" si="24"/>
        <v>220||['add']||qwen/qwen2.5-0.5b||M2</v>
      </c>
      <c r="N164">
        <f>IF(COUNTIF($M$2:M164, M164)=1, 1, 0)</f>
        <v>0</v>
      </c>
      <c r="O164" t="str">
        <f t="shared" si="25"/>
        <v>220||['add']||qwen/qwen2.5-0.5b||T2</v>
      </c>
      <c r="P164">
        <f>IF(COUNTIF($O$2:O164, O164)=1, 1, 0)</f>
        <v>0</v>
      </c>
      <c r="Q164" t="str">
        <f t="shared" si="20"/>
        <v>156||C72</v>
      </c>
      <c r="R164">
        <f>IF(COUNTIF($Q$2:Q164, Q164)=1, 1, 0)</f>
        <v>1</v>
      </c>
      <c r="S164" t="str">
        <f t="shared" si="21"/>
        <v>156||M2</v>
      </c>
      <c r="T164">
        <f>IF(COUNTIF($S$2:S164, S164)=1, 1, 0)</f>
        <v>1</v>
      </c>
      <c r="U164" t="str">
        <f t="shared" si="22"/>
        <v>156||T2</v>
      </c>
      <c r="V164">
        <f>IF(COUNTIF($U$2:U164, U164)=1, 1, 0)</f>
        <v>1</v>
      </c>
      <c r="W164" t="s">
        <v>245</v>
      </c>
      <c r="X164" t="s">
        <v>443</v>
      </c>
      <c r="Y164" t="str">
        <f>_xlfn.XLOOKUP(X164, codes!A:A, codes!F:F, "")</f>
        <v>M2</v>
      </c>
      <c r="Z164" t="str">
        <f>_xlfn.XLOOKUP(Y164, 'sub-themes'!A:A, 'sub-themes'!H:H, "")</f>
        <v>T2</v>
      </c>
    </row>
    <row r="165" spans="1:26" x14ac:dyDescent="0.2">
      <c r="A165">
        <v>157</v>
      </c>
      <c r="B165">
        <v>220</v>
      </c>
      <c r="C165" t="s">
        <v>11</v>
      </c>
      <c r="D165">
        <v>1</v>
      </c>
      <c r="E165">
        <v>1</v>
      </c>
      <c r="F165" t="s">
        <v>8</v>
      </c>
      <c r="G165" t="s">
        <v>181</v>
      </c>
      <c r="H165" t="str">
        <f t="shared" si="23"/>
        <v>qwen/qwen2.5-0.5b</v>
      </c>
      <c r="I165" t="str">
        <f t="shared" si="26"/>
        <v>220||['add']||qwen/qwen2.5-0.5b</v>
      </c>
      <c r="J165">
        <f>IF(COUNTIF($I$2:I165, I165)=1, 1, 0)</f>
        <v>0</v>
      </c>
      <c r="K165" t="str">
        <f t="shared" si="19"/>
        <v>220||['add']||qwen/qwen2.5-0.5b||C72</v>
      </c>
      <c r="L165">
        <f>IF(COUNTIF($K$2:K165, K165)=1, 1, 0)</f>
        <v>0</v>
      </c>
      <c r="M165" t="str">
        <f t="shared" si="24"/>
        <v>220||['add']||qwen/qwen2.5-0.5b||M2</v>
      </c>
      <c r="N165">
        <f>IF(COUNTIF($M$2:M165, M165)=1, 1, 0)</f>
        <v>0</v>
      </c>
      <c r="O165" t="str">
        <f t="shared" si="25"/>
        <v>220||['add']||qwen/qwen2.5-0.5b||T2</v>
      </c>
      <c r="P165">
        <f>IF(COUNTIF($O$2:O165, O165)=1, 1, 0)</f>
        <v>0</v>
      </c>
      <c r="Q165" t="str">
        <f t="shared" si="20"/>
        <v>157||C72</v>
      </c>
      <c r="R165">
        <f>IF(COUNTIF($Q$2:Q165, Q165)=1, 1, 0)</f>
        <v>1</v>
      </c>
      <c r="S165" t="str">
        <f t="shared" si="21"/>
        <v>157||M2</v>
      </c>
      <c r="T165">
        <f>IF(COUNTIF($S$2:S165, S165)=1, 1, 0)</f>
        <v>1</v>
      </c>
      <c r="U165" t="str">
        <f t="shared" si="22"/>
        <v>157||T2</v>
      </c>
      <c r="V165">
        <f>IF(COUNTIF($U$2:U165, U165)=1, 1, 0)</f>
        <v>1</v>
      </c>
      <c r="W165" t="s">
        <v>247</v>
      </c>
      <c r="X165" t="s">
        <v>443</v>
      </c>
      <c r="Y165" t="str">
        <f>_xlfn.XLOOKUP(X165, codes!A:A, codes!F:F, "")</f>
        <v>M2</v>
      </c>
      <c r="Z165" t="str">
        <f>_xlfn.XLOOKUP(Y165, 'sub-themes'!A:A, 'sub-themes'!H:H, "")</f>
        <v>T2</v>
      </c>
    </row>
    <row r="166" spans="1:26" x14ac:dyDescent="0.2">
      <c r="A166">
        <v>158</v>
      </c>
      <c r="B166">
        <v>221</v>
      </c>
      <c r="C166" t="s">
        <v>7</v>
      </c>
      <c r="D166">
        <v>1</v>
      </c>
      <c r="E166">
        <v>1</v>
      </c>
      <c r="F166" t="s">
        <v>8</v>
      </c>
      <c r="G166" t="s">
        <v>182</v>
      </c>
      <c r="H166" t="str">
        <f t="shared" si="23"/>
        <v>mlx-community/mistral-7b-instruct-v0.3-4bit</v>
      </c>
      <c r="I166" t="str">
        <f t="shared" si="26"/>
        <v>221||['add']||mlx-community/mistral-7b-instruct-v0.3-4bit</v>
      </c>
      <c r="J166">
        <f>IF(COUNTIF($I$2:I166, I166)=1, 1, 0)</f>
        <v>1</v>
      </c>
      <c r="K166" t="str">
        <f t="shared" si="19"/>
        <v>221||['add']||mlx-community/mistral-7b-instruct-v0.3-4bit||C21</v>
      </c>
      <c r="L166">
        <f>IF(COUNTIF($K$2:K166, K166)=1, 1, 0)</f>
        <v>1</v>
      </c>
      <c r="M166" t="str">
        <f t="shared" si="24"/>
        <v>221||['add']||mlx-community/mistral-7b-instruct-v0.3-4bit||M2</v>
      </c>
      <c r="N166">
        <f>IF(COUNTIF($M$2:M166, M166)=1, 1, 0)</f>
        <v>1</v>
      </c>
      <c r="O166" t="str">
        <f t="shared" si="25"/>
        <v>221||['add']||mlx-community/mistral-7b-instruct-v0.3-4bit||T2</v>
      </c>
      <c r="P166">
        <f>IF(COUNTIF($O$2:O166, O166)=1, 1, 0)</f>
        <v>1</v>
      </c>
      <c r="Q166" t="str">
        <f t="shared" si="20"/>
        <v>158||C21</v>
      </c>
      <c r="R166">
        <f>IF(COUNTIF($Q$2:Q166, Q166)=1, 1, 0)</f>
        <v>1</v>
      </c>
      <c r="S166" t="str">
        <f t="shared" si="21"/>
        <v>158||M2</v>
      </c>
      <c r="T166">
        <f>IF(COUNTIF($S$2:S166, S166)=1, 1, 0)</f>
        <v>1</v>
      </c>
      <c r="U166" t="str">
        <f t="shared" si="22"/>
        <v>158||T2</v>
      </c>
      <c r="V166">
        <f>IF(COUNTIF($U$2:U166, U166)=1, 1, 0)</f>
        <v>1</v>
      </c>
      <c r="W166" t="s">
        <v>248</v>
      </c>
      <c r="X166" t="s">
        <v>319</v>
      </c>
      <c r="Y166" t="str">
        <f>_xlfn.XLOOKUP(X166, codes!A:A, codes!F:F, "")</f>
        <v>M2</v>
      </c>
      <c r="Z166" t="str">
        <f>_xlfn.XLOOKUP(Y166, 'sub-themes'!A:A, 'sub-themes'!H:H, "")</f>
        <v>T2</v>
      </c>
    </row>
    <row r="167" spans="1:26" x14ac:dyDescent="0.2">
      <c r="A167">
        <v>159</v>
      </c>
      <c r="B167">
        <v>221</v>
      </c>
      <c r="C167" t="s">
        <v>19</v>
      </c>
      <c r="D167">
        <v>1</v>
      </c>
      <c r="E167">
        <v>1</v>
      </c>
      <c r="F167" t="s">
        <v>8</v>
      </c>
      <c r="G167" t="s">
        <v>182</v>
      </c>
      <c r="H167" t="str">
        <f t="shared" si="23"/>
        <v>mlx-community/mistral-7b-instruct-v0.3-4bit</v>
      </c>
      <c r="I167" t="str">
        <f t="shared" si="26"/>
        <v>221||['add']||mlx-community/mistral-7b-instruct-v0.3-4bit</v>
      </c>
      <c r="J167">
        <f>IF(COUNTIF($I$2:I167, I167)=1, 1, 0)</f>
        <v>0</v>
      </c>
      <c r="K167" t="str">
        <f t="shared" si="19"/>
        <v>221||['add']||mlx-community/mistral-7b-instruct-v0.3-4bit||C21</v>
      </c>
      <c r="L167">
        <f>IF(COUNTIF($K$2:K167, K167)=1, 1, 0)</f>
        <v>0</v>
      </c>
      <c r="M167" t="str">
        <f t="shared" si="24"/>
        <v>221||['add']||mlx-community/mistral-7b-instruct-v0.3-4bit||M2</v>
      </c>
      <c r="N167">
        <f>IF(COUNTIF($M$2:M167, M167)=1, 1, 0)</f>
        <v>0</v>
      </c>
      <c r="O167" t="str">
        <f t="shared" si="25"/>
        <v>221||['add']||mlx-community/mistral-7b-instruct-v0.3-4bit||T2</v>
      </c>
      <c r="P167">
        <f>IF(COUNTIF($O$2:O167, O167)=1, 1, 0)</f>
        <v>0</v>
      </c>
      <c r="Q167" t="str">
        <f t="shared" si="20"/>
        <v>159||C21</v>
      </c>
      <c r="R167">
        <f>IF(COUNTIF($Q$2:Q167, Q167)=1, 1, 0)</f>
        <v>1</v>
      </c>
      <c r="S167" t="str">
        <f t="shared" si="21"/>
        <v>159||M2</v>
      </c>
      <c r="T167">
        <f>IF(COUNTIF($S$2:S167, S167)=1, 1, 0)</f>
        <v>1</v>
      </c>
      <c r="U167" t="str">
        <f t="shared" si="22"/>
        <v>159||T2</v>
      </c>
      <c r="V167">
        <f>IF(COUNTIF($U$2:U167, U167)=1, 1, 0)</f>
        <v>1</v>
      </c>
      <c r="W167" t="s">
        <v>248</v>
      </c>
      <c r="X167" t="s">
        <v>319</v>
      </c>
      <c r="Y167" t="str">
        <f>_xlfn.XLOOKUP(X167, codes!A:A, codes!F:F, "")</f>
        <v>M2</v>
      </c>
      <c r="Z167" t="str">
        <f>_xlfn.XLOOKUP(Y167, 'sub-themes'!A:A, 'sub-themes'!H:H, "")</f>
        <v>T2</v>
      </c>
    </row>
    <row r="168" spans="1:26" x14ac:dyDescent="0.2">
      <c r="A168">
        <v>160</v>
      </c>
      <c r="B168">
        <v>222</v>
      </c>
      <c r="C168" t="s">
        <v>7</v>
      </c>
      <c r="D168">
        <v>1</v>
      </c>
      <c r="E168">
        <v>1</v>
      </c>
      <c r="F168" t="s">
        <v>29</v>
      </c>
      <c r="G168" t="s">
        <v>183</v>
      </c>
      <c r="H168" t="str">
        <f t="shared" si="23"/>
        <v>trl-internal-testing/tiny-gemma2forcausallm</v>
      </c>
      <c r="I168" t="str">
        <f t="shared" si="26"/>
        <v>222||['migrate']||trl-internal-testing/tiny-gemma2forcausallm</v>
      </c>
      <c r="J168">
        <f>IF(COUNTIF($I$2:I168, I168)=1, 1, 0)</f>
        <v>1</v>
      </c>
      <c r="K168" t="str">
        <f t="shared" si="19"/>
        <v>222||['migrate']||trl-internal-testing/tiny-gemma2forcausallm||C71</v>
      </c>
      <c r="L168">
        <f>IF(COUNTIF($K$2:K168, K168)=1, 1, 0)</f>
        <v>1</v>
      </c>
      <c r="M168" t="str">
        <f t="shared" si="24"/>
        <v>222||['migrate']||trl-internal-testing/tiny-gemma2forcausallm||M5</v>
      </c>
      <c r="N168">
        <f>IF(COUNTIF($M$2:M168, M168)=1, 1, 0)</f>
        <v>1</v>
      </c>
      <c r="O168" t="str">
        <f t="shared" si="25"/>
        <v>222||['migrate']||trl-internal-testing/tiny-gemma2forcausallm||T4</v>
      </c>
      <c r="P168">
        <f>IF(COUNTIF($O$2:O168, O168)=1, 1, 0)</f>
        <v>1</v>
      </c>
      <c r="Q168" t="str">
        <f t="shared" si="20"/>
        <v>160||C71</v>
      </c>
      <c r="R168">
        <f>IF(COUNTIF($Q$2:Q168, Q168)=1, 1, 0)</f>
        <v>1</v>
      </c>
      <c r="S168" t="str">
        <f t="shared" si="21"/>
        <v>160||M5</v>
      </c>
      <c r="T168">
        <f>IF(COUNTIF($S$2:S168, S168)=1, 1, 0)</f>
        <v>1</v>
      </c>
      <c r="U168" t="str">
        <f t="shared" si="22"/>
        <v>160||T4</v>
      </c>
      <c r="V168">
        <f>IF(COUNTIF($U$2:U168, U168)=1, 1, 0)</f>
        <v>1</v>
      </c>
      <c r="W168" t="s">
        <v>249</v>
      </c>
      <c r="X168" t="s">
        <v>441</v>
      </c>
      <c r="Y168" t="str">
        <f>_xlfn.XLOOKUP(X168, codes!A:A, codes!F:F, "")</f>
        <v>M5</v>
      </c>
      <c r="Z168" t="str">
        <f>_xlfn.XLOOKUP(Y168, 'sub-themes'!A:A, 'sub-themes'!H:H, "")</f>
        <v>T4</v>
      </c>
    </row>
    <row r="169" spans="1:26" x14ac:dyDescent="0.2">
      <c r="A169">
        <v>161</v>
      </c>
      <c r="B169">
        <v>222</v>
      </c>
      <c r="C169" t="s">
        <v>19</v>
      </c>
      <c r="D169">
        <v>1</v>
      </c>
      <c r="E169">
        <v>1</v>
      </c>
      <c r="F169" t="s">
        <v>29</v>
      </c>
      <c r="G169" t="s">
        <v>183</v>
      </c>
      <c r="H169" t="str">
        <f t="shared" si="23"/>
        <v>trl-internal-testing/tiny-gemma2forcausallm</v>
      </c>
      <c r="I169" t="str">
        <f t="shared" si="26"/>
        <v>222||['migrate']||trl-internal-testing/tiny-gemma2forcausallm</v>
      </c>
      <c r="J169">
        <f>IF(COUNTIF($I$2:I169, I169)=1, 1, 0)</f>
        <v>0</v>
      </c>
      <c r="K169" t="str">
        <f t="shared" si="19"/>
        <v>222||['migrate']||trl-internal-testing/tiny-gemma2forcausallm||C71</v>
      </c>
      <c r="L169">
        <f>IF(COUNTIF($K$2:K169, K169)=1, 1, 0)</f>
        <v>0</v>
      </c>
      <c r="M169" t="str">
        <f t="shared" si="24"/>
        <v>222||['migrate']||trl-internal-testing/tiny-gemma2forcausallm||M5</v>
      </c>
      <c r="N169">
        <f>IF(COUNTIF($M$2:M169, M169)=1, 1, 0)</f>
        <v>0</v>
      </c>
      <c r="O169" t="str">
        <f t="shared" si="25"/>
        <v>222||['migrate']||trl-internal-testing/tiny-gemma2forcausallm||T4</v>
      </c>
      <c r="P169">
        <f>IF(COUNTIF($O$2:O169, O169)=1, 1, 0)</f>
        <v>0</v>
      </c>
      <c r="Q169" t="str">
        <f t="shared" si="20"/>
        <v>161||C71</v>
      </c>
      <c r="R169">
        <f>IF(COUNTIF($Q$2:Q169, Q169)=1, 1, 0)</f>
        <v>1</v>
      </c>
      <c r="S169" t="str">
        <f t="shared" si="21"/>
        <v>161||M5</v>
      </c>
      <c r="T169">
        <f>IF(COUNTIF($S$2:S169, S169)=1, 1, 0)</f>
        <v>1</v>
      </c>
      <c r="U169" t="str">
        <f t="shared" si="22"/>
        <v>161||T4</v>
      </c>
      <c r="V169">
        <f>IF(COUNTIF($U$2:U169, U169)=1, 1, 0)</f>
        <v>1</v>
      </c>
      <c r="W169" t="s">
        <v>250</v>
      </c>
      <c r="X169" t="s">
        <v>441</v>
      </c>
      <c r="Y169" t="str">
        <f>_xlfn.XLOOKUP(X169, codes!A:A, codes!F:F, "")</f>
        <v>M5</v>
      </c>
      <c r="Z169" t="str">
        <f>_xlfn.XLOOKUP(Y169, 'sub-themes'!A:A, 'sub-themes'!H:H, "")</f>
        <v>T4</v>
      </c>
    </row>
    <row r="170" spans="1:26" x14ac:dyDescent="0.2">
      <c r="A170">
        <v>162</v>
      </c>
      <c r="B170">
        <v>223</v>
      </c>
      <c r="C170" t="s">
        <v>7</v>
      </c>
      <c r="D170">
        <v>1</v>
      </c>
      <c r="E170">
        <v>1</v>
      </c>
      <c r="F170" t="s">
        <v>8</v>
      </c>
      <c r="G170" t="s">
        <v>184</v>
      </c>
      <c r="H170" t="str">
        <f t="shared" si="23"/>
        <v>microsoft/phi-4-reasoning</v>
      </c>
      <c r="I170" t="str">
        <f t="shared" si="26"/>
        <v>223||['add']||microsoft/phi-4-reasoning</v>
      </c>
      <c r="J170">
        <f>IF(COUNTIF($I$2:I170, I170)=1, 1, 0)</f>
        <v>1</v>
      </c>
      <c r="K170" t="str">
        <f t="shared" si="19"/>
        <v>223||['add']||microsoft/phi-4-reasoning||C5</v>
      </c>
      <c r="L170">
        <f>IF(COUNTIF($K$2:K170, K170)=1, 1, 0)</f>
        <v>1</v>
      </c>
      <c r="M170" t="str">
        <f t="shared" si="24"/>
        <v>223||['add']||microsoft/phi-4-reasoning||M17</v>
      </c>
      <c r="N170">
        <f>IF(COUNTIF($M$2:M170, M170)=1, 1, 0)</f>
        <v>1</v>
      </c>
      <c r="O170" t="str">
        <f t="shared" si="25"/>
        <v>223||['add']||microsoft/phi-4-reasoning||T3</v>
      </c>
      <c r="P170">
        <f>IF(COUNTIF($O$2:O170, O170)=1, 1, 0)</f>
        <v>1</v>
      </c>
      <c r="Q170" t="str">
        <f t="shared" si="20"/>
        <v>162||C5</v>
      </c>
      <c r="R170">
        <f>IF(COUNTIF($Q$2:Q170, Q170)=1, 1, 0)</f>
        <v>1</v>
      </c>
      <c r="S170" t="str">
        <f t="shared" si="21"/>
        <v>162||M17</v>
      </c>
      <c r="T170">
        <f>IF(COUNTIF($S$2:S170, S170)=1, 1, 0)</f>
        <v>1</v>
      </c>
      <c r="U170" t="str">
        <f t="shared" si="22"/>
        <v>162||T3</v>
      </c>
      <c r="V170">
        <f>IF(COUNTIF($U$2:U170, U170)=1, 1, 0)</f>
        <v>1</v>
      </c>
      <c r="W170" t="s">
        <v>252</v>
      </c>
      <c r="X170" t="s">
        <v>291</v>
      </c>
      <c r="Y170" t="str">
        <f>_xlfn.XLOOKUP(X170, codes!A:A, codes!F:F, "")</f>
        <v>M17</v>
      </c>
      <c r="Z170" t="str">
        <f>_xlfn.XLOOKUP(Y170, 'sub-themes'!A:A, 'sub-themes'!H:H, "")</f>
        <v>T3</v>
      </c>
    </row>
    <row r="171" spans="1:26" x14ac:dyDescent="0.2">
      <c r="A171">
        <v>163</v>
      </c>
      <c r="B171">
        <v>223</v>
      </c>
      <c r="C171" t="s">
        <v>19</v>
      </c>
      <c r="D171">
        <v>1</v>
      </c>
      <c r="E171">
        <v>1</v>
      </c>
      <c r="F171" t="s">
        <v>8</v>
      </c>
      <c r="G171" t="s">
        <v>184</v>
      </c>
      <c r="H171" t="str">
        <f t="shared" si="23"/>
        <v>microsoft/phi-4-reasoning</v>
      </c>
      <c r="I171" t="str">
        <f t="shared" si="26"/>
        <v>223||['add']||microsoft/phi-4-reasoning</v>
      </c>
      <c r="J171">
        <f>IF(COUNTIF($I$2:I171, I171)=1, 1, 0)</f>
        <v>0</v>
      </c>
      <c r="K171" t="str">
        <f t="shared" si="19"/>
        <v>223||['add']||microsoft/phi-4-reasoning||C5</v>
      </c>
      <c r="L171">
        <f>IF(COUNTIF($K$2:K171, K171)=1, 1, 0)</f>
        <v>0</v>
      </c>
      <c r="M171" t="str">
        <f t="shared" si="24"/>
        <v>223||['add']||microsoft/phi-4-reasoning||M17</v>
      </c>
      <c r="N171">
        <f>IF(COUNTIF($M$2:M171, M171)=1, 1, 0)</f>
        <v>0</v>
      </c>
      <c r="O171" t="str">
        <f t="shared" si="25"/>
        <v>223||['add']||microsoft/phi-4-reasoning||T3</v>
      </c>
      <c r="P171">
        <f>IF(COUNTIF($O$2:O171, O171)=1, 1, 0)</f>
        <v>0</v>
      </c>
      <c r="Q171" t="str">
        <f t="shared" si="20"/>
        <v>163||C5</v>
      </c>
      <c r="R171">
        <f>IF(COUNTIF($Q$2:Q171, Q171)=1, 1, 0)</f>
        <v>1</v>
      </c>
      <c r="S171" t="str">
        <f t="shared" si="21"/>
        <v>163||M17</v>
      </c>
      <c r="T171">
        <f>IF(COUNTIF($S$2:S171, S171)=1, 1, 0)</f>
        <v>1</v>
      </c>
      <c r="U171" t="str">
        <f t="shared" si="22"/>
        <v>163||T3</v>
      </c>
      <c r="V171">
        <f>IF(COUNTIF($U$2:U171, U171)=1, 1, 0)</f>
        <v>1</v>
      </c>
      <c r="W171" t="s">
        <v>251</v>
      </c>
      <c r="X171" t="s">
        <v>291</v>
      </c>
      <c r="Y171" t="str">
        <f>_xlfn.XLOOKUP(X171, codes!A:A, codes!F:F, "")</f>
        <v>M17</v>
      </c>
      <c r="Z171" t="str">
        <f>_xlfn.XLOOKUP(Y171, 'sub-themes'!A:A, 'sub-themes'!H:H, "")</f>
        <v>T3</v>
      </c>
    </row>
    <row r="172" spans="1:26" x14ac:dyDescent="0.2">
      <c r="A172">
        <v>164</v>
      </c>
      <c r="B172">
        <v>224</v>
      </c>
      <c r="C172" t="s">
        <v>7</v>
      </c>
      <c r="D172">
        <v>1</v>
      </c>
      <c r="E172">
        <v>1</v>
      </c>
      <c r="F172" t="s">
        <v>8</v>
      </c>
      <c r="G172" t="s">
        <v>185</v>
      </c>
      <c r="H172" t="str">
        <f t="shared" si="23"/>
        <v>neelnanda/gpt-neox-tokenizer-digits</v>
      </c>
      <c r="I172" t="str">
        <f t="shared" si="26"/>
        <v>224||['add']||neelnanda/gpt-neox-tokenizer-digits</v>
      </c>
      <c r="J172">
        <f>IF(COUNTIF($I$2:I172, I172)=1, 1, 0)</f>
        <v>1</v>
      </c>
      <c r="K172" t="str">
        <f t="shared" si="19"/>
        <v>224||['add']||neelnanda/gpt-neox-tokenizer-digits||C5</v>
      </c>
      <c r="L172">
        <f>IF(COUNTIF($K$2:K172, K172)=1, 1, 0)</f>
        <v>1</v>
      </c>
      <c r="M172" t="str">
        <f t="shared" si="24"/>
        <v>224||['add']||neelnanda/gpt-neox-tokenizer-digits||M17</v>
      </c>
      <c r="N172">
        <f>IF(COUNTIF($M$2:M172, M172)=1, 1, 0)</f>
        <v>1</v>
      </c>
      <c r="O172" t="str">
        <f t="shared" si="25"/>
        <v>224||['add']||neelnanda/gpt-neox-tokenizer-digits||T3</v>
      </c>
      <c r="P172">
        <f>IF(COUNTIF($O$2:O172, O172)=1, 1, 0)</f>
        <v>1</v>
      </c>
      <c r="Q172" t="str">
        <f t="shared" si="20"/>
        <v>164||C5</v>
      </c>
      <c r="R172">
        <f>IF(COUNTIF($Q$2:Q172, Q172)=1, 1, 0)</f>
        <v>1</v>
      </c>
      <c r="S172" t="str">
        <f t="shared" si="21"/>
        <v>164||M17</v>
      </c>
      <c r="T172">
        <f>IF(COUNTIF($S$2:S172, S172)=1, 1, 0)</f>
        <v>1</v>
      </c>
      <c r="U172" t="str">
        <f t="shared" si="22"/>
        <v>164||T3</v>
      </c>
      <c r="V172">
        <f>IF(COUNTIF($U$2:U172, U172)=1, 1, 0)</f>
        <v>1</v>
      </c>
      <c r="W172" t="s">
        <v>186</v>
      </c>
      <c r="X172" t="s">
        <v>291</v>
      </c>
      <c r="Y172" t="str">
        <f>_xlfn.XLOOKUP(X172, codes!A:A, codes!F:F, "")</f>
        <v>M17</v>
      </c>
      <c r="Z172" t="str">
        <f>_xlfn.XLOOKUP(Y172, 'sub-themes'!A:A, 'sub-themes'!H:H, "")</f>
        <v>T3</v>
      </c>
    </row>
    <row r="173" spans="1:26" x14ac:dyDescent="0.2">
      <c r="A173">
        <v>165</v>
      </c>
      <c r="B173">
        <v>224</v>
      </c>
      <c r="C173" t="s">
        <v>19</v>
      </c>
      <c r="D173">
        <v>1</v>
      </c>
      <c r="E173">
        <v>1</v>
      </c>
      <c r="F173" t="s">
        <v>8</v>
      </c>
      <c r="G173" t="s">
        <v>185</v>
      </c>
      <c r="H173" t="str">
        <f t="shared" si="23"/>
        <v>neelnanda/gpt-neox-tokenizer-digits</v>
      </c>
      <c r="I173" t="str">
        <f t="shared" si="26"/>
        <v>224||['add']||neelnanda/gpt-neox-tokenizer-digits</v>
      </c>
      <c r="J173">
        <f>IF(COUNTIF($I$2:I173, I173)=1, 1, 0)</f>
        <v>0</v>
      </c>
      <c r="K173" t="str">
        <f t="shared" si="19"/>
        <v>224||['add']||neelnanda/gpt-neox-tokenizer-digits||C5</v>
      </c>
      <c r="L173">
        <f>IF(COUNTIF($K$2:K173, K173)=1, 1, 0)</f>
        <v>0</v>
      </c>
      <c r="M173" t="str">
        <f t="shared" si="24"/>
        <v>224||['add']||neelnanda/gpt-neox-tokenizer-digits||M17</v>
      </c>
      <c r="N173">
        <f>IF(COUNTIF($M$2:M173, M173)=1, 1, 0)</f>
        <v>0</v>
      </c>
      <c r="O173" t="str">
        <f t="shared" si="25"/>
        <v>224||['add']||neelnanda/gpt-neox-tokenizer-digits||T3</v>
      </c>
      <c r="P173">
        <f>IF(COUNTIF($O$2:O173, O173)=1, 1, 0)</f>
        <v>0</v>
      </c>
      <c r="Q173" t="str">
        <f t="shared" si="20"/>
        <v>165||C5</v>
      </c>
      <c r="R173">
        <f>IF(COUNTIF($Q$2:Q173, Q173)=1, 1, 0)</f>
        <v>1</v>
      </c>
      <c r="S173" t="str">
        <f t="shared" si="21"/>
        <v>165||M17</v>
      </c>
      <c r="T173">
        <f>IF(COUNTIF($S$2:S173, S173)=1, 1, 0)</f>
        <v>1</v>
      </c>
      <c r="U173" t="str">
        <f t="shared" si="22"/>
        <v>165||T3</v>
      </c>
      <c r="V173">
        <f>IF(COUNTIF($U$2:U173, U173)=1, 1, 0)</f>
        <v>1</v>
      </c>
      <c r="W173" t="s">
        <v>253</v>
      </c>
      <c r="X173" t="s">
        <v>291</v>
      </c>
      <c r="Y173" t="str">
        <f>_xlfn.XLOOKUP(X173, codes!A:A, codes!F:F, "")</f>
        <v>M17</v>
      </c>
      <c r="Z173" t="str">
        <f>_xlfn.XLOOKUP(Y173, 'sub-themes'!A:A, 'sub-themes'!H:H, "")</f>
        <v>T3</v>
      </c>
    </row>
    <row r="174" spans="1:26" x14ac:dyDescent="0.2">
      <c r="A174">
        <v>166</v>
      </c>
      <c r="B174">
        <v>224</v>
      </c>
      <c r="C174" t="s">
        <v>28</v>
      </c>
      <c r="D174">
        <v>1</v>
      </c>
      <c r="E174">
        <v>1</v>
      </c>
      <c r="F174" t="s">
        <v>8</v>
      </c>
      <c r="G174" t="s">
        <v>185</v>
      </c>
      <c r="H174" t="str">
        <f t="shared" si="23"/>
        <v>neelnanda/gpt-neox-tokenizer-digits</v>
      </c>
      <c r="I174" t="str">
        <f t="shared" si="26"/>
        <v>224||['add']||neelnanda/gpt-neox-tokenizer-digits</v>
      </c>
      <c r="J174">
        <f>IF(COUNTIF($I$2:I174, I174)=1, 1, 0)</f>
        <v>0</v>
      </c>
      <c r="K174" t="str">
        <f t="shared" si="19"/>
        <v>224||['add']||neelnanda/gpt-neox-tokenizer-digits||C5</v>
      </c>
      <c r="L174">
        <f>IF(COUNTIF($K$2:K174, K174)=1, 1, 0)</f>
        <v>0</v>
      </c>
      <c r="M174" t="str">
        <f t="shared" si="24"/>
        <v>224||['add']||neelnanda/gpt-neox-tokenizer-digits||M17</v>
      </c>
      <c r="N174">
        <f>IF(COUNTIF($M$2:M174, M174)=1, 1, 0)</f>
        <v>0</v>
      </c>
      <c r="O174" t="str">
        <f t="shared" si="25"/>
        <v>224||['add']||neelnanda/gpt-neox-tokenizer-digits||T3</v>
      </c>
      <c r="P174">
        <f>IF(COUNTIF($O$2:O174, O174)=1, 1, 0)</f>
        <v>0</v>
      </c>
      <c r="Q174" t="str">
        <f t="shared" si="20"/>
        <v>166||C5</v>
      </c>
      <c r="R174">
        <f>IF(COUNTIF($Q$2:Q174, Q174)=1, 1, 0)</f>
        <v>1</v>
      </c>
      <c r="S174" t="str">
        <f t="shared" si="21"/>
        <v>166||M17</v>
      </c>
      <c r="T174">
        <f>IF(COUNTIF($S$2:S174, S174)=1, 1, 0)</f>
        <v>1</v>
      </c>
      <c r="U174" t="str">
        <f t="shared" si="22"/>
        <v>166||T3</v>
      </c>
      <c r="V174">
        <f>IF(COUNTIF($U$2:U174, U174)=1, 1, 0)</f>
        <v>1</v>
      </c>
      <c r="W174" t="s">
        <v>360</v>
      </c>
      <c r="X174" t="s">
        <v>291</v>
      </c>
      <c r="Y174" t="str">
        <f>_xlfn.XLOOKUP(X174, codes!A:A, codes!F:F, "")</f>
        <v>M17</v>
      </c>
      <c r="Z174" t="str">
        <f>_xlfn.XLOOKUP(Y174, 'sub-themes'!A:A, 'sub-themes'!H:H, "")</f>
        <v>T3</v>
      </c>
    </row>
    <row r="175" spans="1:26" x14ac:dyDescent="0.2">
      <c r="A175">
        <v>167</v>
      </c>
      <c r="B175">
        <v>226</v>
      </c>
      <c r="C175" t="s">
        <v>7</v>
      </c>
      <c r="D175">
        <v>2</v>
      </c>
      <c r="E175">
        <v>1</v>
      </c>
      <c r="F175" t="s">
        <v>8</v>
      </c>
      <c r="G175" t="s">
        <v>187</v>
      </c>
      <c r="H175" t="str">
        <f t="shared" si="23"/>
        <v>bigscience/bloom-560m</v>
      </c>
      <c r="I175" t="str">
        <f t="shared" si="26"/>
        <v>226||['add']||bigscience/bloom-560m</v>
      </c>
      <c r="J175">
        <f>IF(COUNTIF($I$2:I175, I175)=1, 1, 0)</f>
        <v>1</v>
      </c>
      <c r="K175" t="str">
        <f t="shared" si="19"/>
        <v>226||['add']||bigscience/bloom-560m||C49</v>
      </c>
      <c r="L175">
        <f>IF(COUNTIF($K$2:K175, K175)=1, 1, 0)</f>
        <v>1</v>
      </c>
      <c r="M175" t="str">
        <f t="shared" si="24"/>
        <v>226||['add']||bigscience/bloom-560m||M19</v>
      </c>
      <c r="N175">
        <f>IF(COUNTIF($M$2:M175, M175)=1, 1, 0)</f>
        <v>1</v>
      </c>
      <c r="O175" t="str">
        <f t="shared" si="25"/>
        <v>226||['add']||bigscience/bloom-560m||T3</v>
      </c>
      <c r="P175">
        <f>IF(COUNTIF($O$2:O175, O175)=1, 1, 0)</f>
        <v>1</v>
      </c>
      <c r="Q175" t="str">
        <f t="shared" si="20"/>
        <v>167||C49</v>
      </c>
      <c r="R175">
        <f>IF(COUNTIF($Q$2:Q175, Q175)=1, 1, 0)</f>
        <v>1</v>
      </c>
      <c r="S175" t="str">
        <f t="shared" si="21"/>
        <v>167||M19</v>
      </c>
      <c r="T175">
        <f>IF(COUNTIF($S$2:S175, S175)=1, 1, 0)</f>
        <v>1</v>
      </c>
      <c r="U175" t="str">
        <f t="shared" si="22"/>
        <v>167||T3</v>
      </c>
      <c r="V175">
        <f>IF(COUNTIF($U$2:U175, U175)=1, 1, 0)</f>
        <v>1</v>
      </c>
      <c r="W175" t="s">
        <v>254</v>
      </c>
      <c r="X175" t="s">
        <v>396</v>
      </c>
      <c r="Y175" t="str">
        <f>_xlfn.XLOOKUP(X175, codes!A:A, codes!F:F, "")</f>
        <v>M19</v>
      </c>
      <c r="Z175" t="str">
        <f>_xlfn.XLOOKUP(Y175, 'sub-themes'!A:A, 'sub-themes'!H:H, "")</f>
        <v>T3</v>
      </c>
    </row>
    <row r="176" spans="1:26" x14ac:dyDescent="0.2">
      <c r="A176">
        <v>168</v>
      </c>
      <c r="B176">
        <v>226</v>
      </c>
      <c r="C176" t="s">
        <v>19</v>
      </c>
      <c r="D176">
        <v>2</v>
      </c>
      <c r="E176">
        <v>1</v>
      </c>
      <c r="F176" t="s">
        <v>8</v>
      </c>
      <c r="G176" t="s">
        <v>187</v>
      </c>
      <c r="H176" t="str">
        <f t="shared" si="23"/>
        <v>bigscience/bloom-560m</v>
      </c>
      <c r="I176" t="str">
        <f t="shared" si="26"/>
        <v>226||['add']||bigscience/bloom-560m</v>
      </c>
      <c r="J176">
        <f>IF(COUNTIF($I$2:I176, I176)=1, 1, 0)</f>
        <v>0</v>
      </c>
      <c r="K176" t="str">
        <f t="shared" si="19"/>
        <v>226||['add']||bigscience/bloom-560m||C49</v>
      </c>
      <c r="L176">
        <f>IF(COUNTIF($K$2:K176, K176)=1, 1, 0)</f>
        <v>0</v>
      </c>
      <c r="M176" t="str">
        <f t="shared" si="24"/>
        <v>226||['add']||bigscience/bloom-560m||M19</v>
      </c>
      <c r="N176">
        <f>IF(COUNTIF($M$2:M176, M176)=1, 1, 0)</f>
        <v>0</v>
      </c>
      <c r="O176" t="str">
        <f t="shared" si="25"/>
        <v>226||['add']||bigscience/bloom-560m||T3</v>
      </c>
      <c r="P176">
        <f>IF(COUNTIF($O$2:O176, O176)=1, 1, 0)</f>
        <v>0</v>
      </c>
      <c r="Q176" t="str">
        <f t="shared" si="20"/>
        <v>168||C49</v>
      </c>
      <c r="R176">
        <f>IF(COUNTIF($Q$2:Q176, Q176)=1, 1, 0)</f>
        <v>1</v>
      </c>
      <c r="S176" t="str">
        <f t="shared" si="21"/>
        <v>168||M19</v>
      </c>
      <c r="T176">
        <f>IF(COUNTIF($S$2:S176, S176)=1, 1, 0)</f>
        <v>1</v>
      </c>
      <c r="U176" t="str">
        <f t="shared" si="22"/>
        <v>168||T3</v>
      </c>
      <c r="V176">
        <f>IF(COUNTIF($U$2:U176, U176)=1, 1, 0)</f>
        <v>1</v>
      </c>
      <c r="W176" t="s">
        <v>430</v>
      </c>
      <c r="X176" t="s">
        <v>396</v>
      </c>
      <c r="Y176" t="str">
        <f>_xlfn.XLOOKUP(X176, codes!A:A, codes!F:F, "")</f>
        <v>M19</v>
      </c>
      <c r="Z176" t="str">
        <f>_xlfn.XLOOKUP(Y176, 'sub-themes'!A:A, 'sub-themes'!H:H, "")</f>
        <v>T3</v>
      </c>
    </row>
    <row r="177" spans="1:26" x14ac:dyDescent="0.2">
      <c r="A177">
        <v>169</v>
      </c>
      <c r="B177">
        <v>226</v>
      </c>
      <c r="C177" t="s">
        <v>28</v>
      </c>
      <c r="D177">
        <v>2</v>
      </c>
      <c r="E177">
        <v>1</v>
      </c>
      <c r="F177" t="s">
        <v>8</v>
      </c>
      <c r="G177" t="s">
        <v>187</v>
      </c>
      <c r="H177" t="str">
        <f t="shared" si="23"/>
        <v>bigscience/bloom-560m</v>
      </c>
      <c r="I177" t="str">
        <f t="shared" si="26"/>
        <v>226||['add']||bigscience/bloom-560m</v>
      </c>
      <c r="J177">
        <f>IF(COUNTIF($I$2:I177, I177)=1, 1, 0)</f>
        <v>0</v>
      </c>
      <c r="K177" t="str">
        <f t="shared" si="19"/>
        <v>226||['add']||bigscience/bloom-560m||C49</v>
      </c>
      <c r="L177">
        <f>IF(COUNTIF($K$2:K177, K177)=1, 1, 0)</f>
        <v>0</v>
      </c>
      <c r="M177" t="str">
        <f t="shared" si="24"/>
        <v>226||['add']||bigscience/bloom-560m||M19</v>
      </c>
      <c r="N177">
        <f>IF(COUNTIF($M$2:M177, M177)=1, 1, 0)</f>
        <v>0</v>
      </c>
      <c r="O177" t="str">
        <f t="shared" si="25"/>
        <v>226||['add']||bigscience/bloom-560m||T3</v>
      </c>
      <c r="P177">
        <f>IF(COUNTIF($O$2:O177, O177)=1, 1, 0)</f>
        <v>0</v>
      </c>
      <c r="Q177" t="str">
        <f t="shared" si="20"/>
        <v>169||C49</v>
      </c>
      <c r="R177">
        <f>IF(COUNTIF($Q$2:Q177, Q177)=1, 1, 0)</f>
        <v>1</v>
      </c>
      <c r="S177" t="str">
        <f t="shared" si="21"/>
        <v>169||M19</v>
      </c>
      <c r="T177">
        <f>IF(COUNTIF($S$2:S177, S177)=1, 1, 0)</f>
        <v>1</v>
      </c>
      <c r="U177" t="str">
        <f t="shared" si="22"/>
        <v>169||T3</v>
      </c>
      <c r="V177">
        <f>IF(COUNTIF($U$2:U177, U177)=1, 1, 0)</f>
        <v>1</v>
      </c>
      <c r="W177" t="s">
        <v>430</v>
      </c>
      <c r="X177" t="s">
        <v>396</v>
      </c>
      <c r="Y177" t="str">
        <f>_xlfn.XLOOKUP(X177, codes!A:A, codes!F:F, "")</f>
        <v>M19</v>
      </c>
      <c r="Z177" t="str">
        <f>_xlfn.XLOOKUP(Y177, 'sub-themes'!A:A, 'sub-themes'!H:H, "")</f>
        <v>T3</v>
      </c>
    </row>
    <row r="178" spans="1:26" x14ac:dyDescent="0.2">
      <c r="A178">
        <v>170</v>
      </c>
      <c r="B178">
        <v>227</v>
      </c>
      <c r="C178" t="s">
        <v>7</v>
      </c>
      <c r="D178">
        <v>2</v>
      </c>
      <c r="E178">
        <v>1</v>
      </c>
      <c r="F178" t="s">
        <v>8</v>
      </c>
      <c r="G178" t="s">
        <v>20</v>
      </c>
      <c r="H178" t="str">
        <f t="shared" si="23"/>
        <v>google-bert/bert-base-cased</v>
      </c>
      <c r="I178" t="str">
        <f t="shared" si="26"/>
        <v>227||['add']||google-bert/bert-base-cased</v>
      </c>
      <c r="J178">
        <f>IF(COUNTIF($I$2:I178, I178)=1, 1, 0)</f>
        <v>1</v>
      </c>
      <c r="K178" t="str">
        <f t="shared" si="19"/>
        <v>227||['add']||google-bert/bert-base-cased||C15</v>
      </c>
      <c r="L178">
        <f>IF(COUNTIF($K$2:K178, K178)=1, 1, 0)</f>
        <v>1</v>
      </c>
      <c r="M178" t="str">
        <f t="shared" si="24"/>
        <v>227||['add']||google-bert/bert-base-cased||M1</v>
      </c>
      <c r="N178">
        <f>IF(COUNTIF($M$2:M178, M178)=1, 1, 0)</f>
        <v>1</v>
      </c>
      <c r="O178" t="str">
        <f t="shared" si="25"/>
        <v>227||['add']||google-bert/bert-base-cased||T1</v>
      </c>
      <c r="P178">
        <f>IF(COUNTIF($O$2:O178, O178)=1, 1, 0)</f>
        <v>1</v>
      </c>
      <c r="Q178" t="str">
        <f t="shared" si="20"/>
        <v>170||C15</v>
      </c>
      <c r="R178">
        <f>IF(COUNTIF($Q$2:Q178, Q178)=1, 1, 0)</f>
        <v>1</v>
      </c>
      <c r="S178" t="str">
        <f t="shared" si="21"/>
        <v>170||M1</v>
      </c>
      <c r="T178">
        <f>IF(COUNTIF($S$2:S178, S178)=1, 1, 0)</f>
        <v>1</v>
      </c>
      <c r="U178" t="str">
        <f t="shared" si="22"/>
        <v>170||T1</v>
      </c>
      <c r="V178">
        <f>IF(COUNTIF($U$2:U178, U178)=1, 1, 0)</f>
        <v>1</v>
      </c>
      <c r="W178" t="s">
        <v>256</v>
      </c>
      <c r="X178" t="s">
        <v>308</v>
      </c>
      <c r="Y178" t="str">
        <f>_xlfn.XLOOKUP(X178, codes!A:A, codes!F:F, "")</f>
        <v>M1</v>
      </c>
      <c r="Z178" t="str">
        <f>_xlfn.XLOOKUP(Y178, 'sub-themes'!A:A, 'sub-themes'!H:H, "")</f>
        <v>T1</v>
      </c>
    </row>
    <row r="179" spans="1:26" x14ac:dyDescent="0.2">
      <c r="A179">
        <v>171</v>
      </c>
      <c r="B179">
        <v>227</v>
      </c>
      <c r="C179" t="s">
        <v>19</v>
      </c>
      <c r="D179">
        <v>2</v>
      </c>
      <c r="E179">
        <v>1</v>
      </c>
      <c r="F179" t="s">
        <v>8</v>
      </c>
      <c r="G179" t="s">
        <v>20</v>
      </c>
      <c r="H179" t="str">
        <f t="shared" si="23"/>
        <v>google-bert/bert-base-cased</v>
      </c>
      <c r="I179" t="str">
        <f t="shared" si="26"/>
        <v>227||['add']||google-bert/bert-base-cased</v>
      </c>
      <c r="J179">
        <f>IF(COUNTIF($I$2:I179, I179)=1, 1, 0)</f>
        <v>0</v>
      </c>
      <c r="K179" t="str">
        <f t="shared" si="19"/>
        <v>227||['add']||google-bert/bert-base-cased||C15</v>
      </c>
      <c r="L179">
        <f>IF(COUNTIF($K$2:K179, K179)=1, 1, 0)</f>
        <v>0</v>
      </c>
      <c r="M179" t="str">
        <f t="shared" si="24"/>
        <v>227||['add']||google-bert/bert-base-cased||M1</v>
      </c>
      <c r="N179">
        <f>IF(COUNTIF($M$2:M179, M179)=1, 1, 0)</f>
        <v>0</v>
      </c>
      <c r="O179" t="str">
        <f t="shared" si="25"/>
        <v>227||['add']||google-bert/bert-base-cased||T1</v>
      </c>
      <c r="P179">
        <f>IF(COUNTIF($O$2:O179, O179)=1, 1, 0)</f>
        <v>0</v>
      </c>
      <c r="Q179" t="str">
        <f t="shared" si="20"/>
        <v>171||C15</v>
      </c>
      <c r="R179">
        <f>IF(COUNTIF($Q$2:Q179, Q179)=1, 1, 0)</f>
        <v>1</v>
      </c>
      <c r="S179" t="str">
        <f t="shared" si="21"/>
        <v>171||M1</v>
      </c>
      <c r="T179">
        <f>IF(COUNTIF($S$2:S179, S179)=1, 1, 0)</f>
        <v>1</v>
      </c>
      <c r="U179" t="str">
        <f t="shared" si="22"/>
        <v>171||T1</v>
      </c>
      <c r="V179">
        <f>IF(COUNTIF($U$2:U179, U179)=1, 1, 0)</f>
        <v>1</v>
      </c>
      <c r="W179" t="s">
        <v>255</v>
      </c>
      <c r="X179" t="s">
        <v>308</v>
      </c>
      <c r="Y179" t="str">
        <f>_xlfn.XLOOKUP(X179, codes!A:A, codes!F:F, "")</f>
        <v>M1</v>
      </c>
      <c r="Z179" t="str">
        <f>_xlfn.XLOOKUP(Y179, 'sub-themes'!A:A, 'sub-themes'!H:H, "")</f>
        <v>T1</v>
      </c>
    </row>
    <row r="180" spans="1:26" x14ac:dyDescent="0.2">
      <c r="A180">
        <v>172</v>
      </c>
      <c r="B180">
        <v>228</v>
      </c>
      <c r="C180" t="s">
        <v>19</v>
      </c>
      <c r="D180">
        <v>1</v>
      </c>
      <c r="E180">
        <v>1</v>
      </c>
      <c r="F180" t="s">
        <v>8</v>
      </c>
      <c r="G180" t="s">
        <v>86</v>
      </c>
      <c r="H180" t="str">
        <f t="shared" si="23"/>
        <v>black-forest-labs/flux.1-dev</v>
      </c>
      <c r="I180" t="str">
        <f t="shared" si="26"/>
        <v>228||['add']||black-forest-labs/flux.1-dev</v>
      </c>
      <c r="J180">
        <f>IF(COUNTIF($I$2:I180, I180)=1, 1, 0)</f>
        <v>1</v>
      </c>
      <c r="K180" t="str">
        <f t="shared" si="19"/>
        <v>228||['add']||black-forest-labs/flux.1-dev||C31</v>
      </c>
      <c r="L180">
        <f>IF(COUNTIF($K$2:K180, K180)=1, 1, 0)</f>
        <v>1</v>
      </c>
      <c r="M180" t="str">
        <f t="shared" si="24"/>
        <v>228||['add']||black-forest-labs/flux.1-dev||M4</v>
      </c>
      <c r="N180">
        <f>IF(COUNTIF($M$2:M180, M180)=1, 1, 0)</f>
        <v>1</v>
      </c>
      <c r="O180" t="str">
        <f t="shared" si="25"/>
        <v>228||['add']||black-forest-labs/flux.1-dev||T1</v>
      </c>
      <c r="P180">
        <f>IF(COUNTIF($O$2:O180, O180)=1, 1, 0)</f>
        <v>1</v>
      </c>
      <c r="Q180" t="str">
        <f t="shared" si="20"/>
        <v>172||C31</v>
      </c>
      <c r="R180">
        <f>IF(COUNTIF($Q$2:Q180, Q180)=1, 1, 0)</f>
        <v>1</v>
      </c>
      <c r="S180" t="str">
        <f t="shared" si="21"/>
        <v>172||M4</v>
      </c>
      <c r="T180">
        <f>IF(COUNTIF($S$2:S180, S180)=1, 1, 0)</f>
        <v>1</v>
      </c>
      <c r="U180" t="str">
        <f t="shared" si="22"/>
        <v>172||T1</v>
      </c>
      <c r="V180">
        <f>IF(COUNTIF($U$2:U180, U180)=1, 1, 0)</f>
        <v>1</v>
      </c>
      <c r="W180" t="s">
        <v>257</v>
      </c>
      <c r="X180" t="s">
        <v>335</v>
      </c>
      <c r="Y180" t="str">
        <f>_xlfn.XLOOKUP(X180, codes!A:A, codes!F:F, "")</f>
        <v>M4</v>
      </c>
      <c r="Z180" t="str">
        <f>_xlfn.XLOOKUP(Y180, 'sub-themes'!A:A, 'sub-themes'!H:H, "")</f>
        <v>T1</v>
      </c>
    </row>
    <row r="181" spans="1:26" x14ac:dyDescent="0.2">
      <c r="A181">
        <v>173</v>
      </c>
      <c r="B181">
        <v>228</v>
      </c>
      <c r="C181" t="s">
        <v>11</v>
      </c>
      <c r="D181">
        <v>1</v>
      </c>
      <c r="E181">
        <v>1</v>
      </c>
      <c r="F181" t="s">
        <v>8</v>
      </c>
      <c r="G181" t="s">
        <v>86</v>
      </c>
      <c r="H181" t="str">
        <f t="shared" si="23"/>
        <v>black-forest-labs/flux.1-dev</v>
      </c>
      <c r="I181" t="str">
        <f t="shared" si="26"/>
        <v>228||['add']||black-forest-labs/flux.1-dev</v>
      </c>
      <c r="J181">
        <f>IF(COUNTIF($I$2:I181, I181)=1, 1, 0)</f>
        <v>0</v>
      </c>
      <c r="K181" t="str">
        <f t="shared" si="19"/>
        <v>228||['add']||black-forest-labs/flux.1-dev||C31</v>
      </c>
      <c r="L181">
        <f>IF(COUNTIF($K$2:K181, K181)=1, 1, 0)</f>
        <v>0</v>
      </c>
      <c r="M181" t="str">
        <f t="shared" si="24"/>
        <v>228||['add']||black-forest-labs/flux.1-dev||M4</v>
      </c>
      <c r="N181">
        <f>IF(COUNTIF($M$2:M181, M181)=1, 1, 0)</f>
        <v>0</v>
      </c>
      <c r="O181" t="str">
        <f t="shared" si="25"/>
        <v>228||['add']||black-forest-labs/flux.1-dev||T1</v>
      </c>
      <c r="P181">
        <f>IF(COUNTIF($O$2:O181, O181)=1, 1, 0)</f>
        <v>0</v>
      </c>
      <c r="Q181" t="str">
        <f t="shared" si="20"/>
        <v>173||C31</v>
      </c>
      <c r="R181">
        <f>IF(COUNTIF($Q$2:Q181, Q181)=1, 1, 0)</f>
        <v>1</v>
      </c>
      <c r="S181" t="str">
        <f t="shared" si="21"/>
        <v>173||M4</v>
      </c>
      <c r="T181">
        <f>IF(COUNTIF($S$2:S181, S181)=1, 1, 0)</f>
        <v>1</v>
      </c>
      <c r="U181" t="str">
        <f t="shared" si="22"/>
        <v>173||T1</v>
      </c>
      <c r="V181">
        <f>IF(COUNTIF($U$2:U181, U181)=1, 1, 0)</f>
        <v>1</v>
      </c>
      <c r="W181" t="s">
        <v>257</v>
      </c>
      <c r="X181" t="s">
        <v>335</v>
      </c>
      <c r="Y181" t="str">
        <f>_xlfn.XLOOKUP(X181, codes!A:A, codes!F:F, "")</f>
        <v>M4</v>
      </c>
      <c r="Z181" t="str">
        <f>_xlfn.XLOOKUP(Y181, 'sub-themes'!A:A, 'sub-themes'!H:H, "")</f>
        <v>T1</v>
      </c>
    </row>
    <row r="182" spans="1:26" x14ac:dyDescent="0.2">
      <c r="A182">
        <v>173</v>
      </c>
      <c r="B182">
        <v>228</v>
      </c>
      <c r="C182" t="s">
        <v>11</v>
      </c>
      <c r="D182">
        <v>2</v>
      </c>
      <c r="E182">
        <v>1</v>
      </c>
      <c r="F182" t="s">
        <v>8</v>
      </c>
      <c r="G182" t="s">
        <v>258</v>
      </c>
      <c r="H182" t="str">
        <f t="shared" si="23"/>
        <v>black-forest-labs/flux.1-redux-dev</v>
      </c>
      <c r="I182" t="str">
        <f t="shared" si="26"/>
        <v>228||['add']||black-forest-labs/flux.1-redux-dev</v>
      </c>
      <c r="J182">
        <f>IF(COUNTIF($I$2:I182, I182)=1, 1, 0)</f>
        <v>1</v>
      </c>
      <c r="K182" t="str">
        <f t="shared" si="19"/>
        <v>228||['add']||black-forest-labs/flux.1-redux-dev||C58</v>
      </c>
      <c r="L182">
        <f>IF(COUNTIF($K$2:K182, K182)=1, 1, 0)</f>
        <v>1</v>
      </c>
      <c r="M182" t="str">
        <f t="shared" si="24"/>
        <v>228||['add']||black-forest-labs/flux.1-redux-dev||M18</v>
      </c>
      <c r="N182">
        <f>IF(COUNTIF($M$2:M182, M182)=1, 1, 0)</f>
        <v>1</v>
      </c>
      <c r="O182" t="str">
        <f t="shared" si="25"/>
        <v>228||['add']||black-forest-labs/flux.1-redux-dev||T2</v>
      </c>
      <c r="P182">
        <f>IF(COUNTIF($O$2:O182, O182)=1, 1, 0)</f>
        <v>1</v>
      </c>
      <c r="Q182" t="str">
        <f t="shared" si="20"/>
        <v>173||C58</v>
      </c>
      <c r="R182">
        <f>IF(COUNTIF($Q$2:Q182, Q182)=1, 1, 0)</f>
        <v>1</v>
      </c>
      <c r="S182" t="str">
        <f t="shared" si="21"/>
        <v>173||M18</v>
      </c>
      <c r="T182">
        <f>IF(COUNTIF($S$2:S182, S182)=1, 1, 0)</f>
        <v>1</v>
      </c>
      <c r="U182" t="str">
        <f t="shared" si="22"/>
        <v>173||T2</v>
      </c>
      <c r="V182">
        <f>IF(COUNTIF($U$2:U182, U182)=1, 1, 0)</f>
        <v>1</v>
      </c>
      <c r="W182" t="s">
        <v>259</v>
      </c>
      <c r="X182" t="s">
        <v>415</v>
      </c>
      <c r="Y182" t="str">
        <f>_xlfn.XLOOKUP(X182, codes!A:A, codes!F:F, "")</f>
        <v>M18</v>
      </c>
      <c r="Z182" t="str">
        <f>_xlfn.XLOOKUP(Y182, 'sub-themes'!A:A, 'sub-themes'!H:H, "")</f>
        <v>T2</v>
      </c>
    </row>
    <row r="183" spans="1:26" x14ac:dyDescent="0.2">
      <c r="A183">
        <v>174</v>
      </c>
      <c r="B183">
        <v>229</v>
      </c>
      <c r="C183" t="s">
        <v>11</v>
      </c>
      <c r="D183">
        <v>1</v>
      </c>
      <c r="E183">
        <v>1</v>
      </c>
      <c r="F183" t="s">
        <v>8</v>
      </c>
      <c r="G183" t="s">
        <v>188</v>
      </c>
      <c r="H183" t="str">
        <f t="shared" si="23"/>
        <v>efficient-large-model/sana_1600m_1024px_bf16_diffusers</v>
      </c>
      <c r="I183" t="str">
        <f t="shared" si="26"/>
        <v>229||['add']||efficient-large-model/sana_1600m_1024px_bf16_diffusers</v>
      </c>
      <c r="J183">
        <f>IF(COUNTIF($I$2:I183, I183)=1, 1, 0)</f>
        <v>1</v>
      </c>
      <c r="K183" t="str">
        <f t="shared" si="19"/>
        <v>229||['add']||efficient-large-model/sana_1600m_1024px_bf16_diffusers||C53</v>
      </c>
      <c r="L183">
        <f>IF(COUNTIF($K$2:K183, K183)=1, 1, 0)</f>
        <v>1</v>
      </c>
      <c r="M183" t="str">
        <f t="shared" si="24"/>
        <v>229||['add']||efficient-large-model/sana_1600m_1024px_bf16_diffusers||M12</v>
      </c>
      <c r="N183">
        <f>IF(COUNTIF($M$2:M183, M183)=1, 1, 0)</f>
        <v>1</v>
      </c>
      <c r="O183" t="str">
        <f t="shared" si="25"/>
        <v>229||['add']||efficient-large-model/sana_1600m_1024px_bf16_diffusers||T5</v>
      </c>
      <c r="P183">
        <f>IF(COUNTIF($O$2:O183, O183)=1, 1, 0)</f>
        <v>1</v>
      </c>
      <c r="Q183" t="str">
        <f t="shared" si="20"/>
        <v>174||C53</v>
      </c>
      <c r="R183">
        <f>IF(COUNTIF($Q$2:Q183, Q183)=1, 1, 0)</f>
        <v>1</v>
      </c>
      <c r="S183" t="str">
        <f t="shared" si="21"/>
        <v>174||M12</v>
      </c>
      <c r="T183">
        <f>IF(COUNTIF($S$2:S183, S183)=1, 1, 0)</f>
        <v>1</v>
      </c>
      <c r="U183" t="str">
        <f t="shared" si="22"/>
        <v>174||T5</v>
      </c>
      <c r="V183">
        <f>IF(COUNTIF($U$2:U183, U183)=1, 1, 0)</f>
        <v>1</v>
      </c>
      <c r="W183" t="s">
        <v>260</v>
      </c>
      <c r="X183" t="s">
        <v>404</v>
      </c>
      <c r="Y183" t="str">
        <f>_xlfn.XLOOKUP(X183, codes!A:A, codes!F:F, "")</f>
        <v>M12</v>
      </c>
      <c r="Z183" t="str">
        <f>_xlfn.XLOOKUP(Y183, 'sub-themes'!A:A, 'sub-themes'!H:H, "")</f>
        <v>T5</v>
      </c>
    </row>
    <row r="184" spans="1:26" x14ac:dyDescent="0.2">
      <c r="A184">
        <v>175</v>
      </c>
      <c r="B184">
        <v>233</v>
      </c>
      <c r="C184" t="s">
        <v>7</v>
      </c>
      <c r="D184">
        <v>1</v>
      </c>
      <c r="E184">
        <v>1</v>
      </c>
      <c r="F184" t="s">
        <v>8</v>
      </c>
      <c r="G184" t="s">
        <v>189</v>
      </c>
      <c r="H184" t="str">
        <f t="shared" si="23"/>
        <v>jiani11/human-perception-place-pulse</v>
      </c>
      <c r="I184" t="str">
        <f t="shared" si="26"/>
        <v>233||['add']||jiani11/human-perception-place-pulse</v>
      </c>
      <c r="J184">
        <f>IF(COUNTIF($I$2:I184, I184)=1, 1, 0)</f>
        <v>1</v>
      </c>
      <c r="K184" t="str">
        <f t="shared" si="19"/>
        <v>233||['add']||jiani11/human-perception-place-pulse||C30</v>
      </c>
      <c r="L184">
        <f>IF(COUNTIF($K$2:K184, K184)=1, 1, 0)</f>
        <v>1</v>
      </c>
      <c r="M184" t="str">
        <f t="shared" si="24"/>
        <v>233||['add']||jiani11/human-perception-place-pulse||M13</v>
      </c>
      <c r="N184">
        <f>IF(COUNTIF($M$2:M184, M184)=1, 1, 0)</f>
        <v>1</v>
      </c>
      <c r="O184" t="str">
        <f t="shared" si="25"/>
        <v>233||['add']||jiani11/human-perception-place-pulse||T1</v>
      </c>
      <c r="P184">
        <f>IF(COUNTIF($O$2:O184, O184)=1, 1, 0)</f>
        <v>1</v>
      </c>
      <c r="Q184" t="str">
        <f t="shared" si="20"/>
        <v>175||C30</v>
      </c>
      <c r="R184">
        <f>IF(COUNTIF($Q$2:Q184, Q184)=1, 1, 0)</f>
        <v>1</v>
      </c>
      <c r="S184" t="str">
        <f t="shared" si="21"/>
        <v>175||M13</v>
      </c>
      <c r="T184">
        <f>IF(COUNTIF($S$2:S184, S184)=1, 1, 0)</f>
        <v>1</v>
      </c>
      <c r="U184" t="str">
        <f t="shared" si="22"/>
        <v>175||T1</v>
      </c>
      <c r="V184">
        <f>IF(COUNTIF($U$2:U184, U184)=1, 1, 0)</f>
        <v>1</v>
      </c>
      <c r="W184" t="s">
        <v>261</v>
      </c>
      <c r="X184" t="s">
        <v>333</v>
      </c>
      <c r="Y184" t="str">
        <f>_xlfn.XLOOKUP(X184, codes!A:A, codes!F:F, "")</f>
        <v>M13</v>
      </c>
      <c r="Z184" t="str">
        <f>_xlfn.XLOOKUP(Y184, 'sub-themes'!A:A, 'sub-themes'!H:H, "")</f>
        <v>T1</v>
      </c>
    </row>
    <row r="185" spans="1:26" x14ac:dyDescent="0.2">
      <c r="A185">
        <v>176</v>
      </c>
      <c r="B185">
        <v>233</v>
      </c>
      <c r="C185" t="s">
        <v>19</v>
      </c>
      <c r="D185">
        <v>1</v>
      </c>
      <c r="E185">
        <v>1</v>
      </c>
      <c r="F185" t="s">
        <v>8</v>
      </c>
      <c r="G185" t="s">
        <v>189</v>
      </c>
      <c r="H185" t="str">
        <f t="shared" si="23"/>
        <v>jiani11/human-perception-place-pulse</v>
      </c>
      <c r="I185" t="str">
        <f t="shared" ref="I185:I216" si="27">B185 &amp; "||" &amp; F185 &amp; "||" &amp; H185</f>
        <v>233||['add']||jiani11/human-perception-place-pulse</v>
      </c>
      <c r="J185">
        <f>IF(COUNTIF($I$2:I185, I185)=1, 1, 0)</f>
        <v>0</v>
      </c>
      <c r="K185" t="str">
        <f t="shared" si="19"/>
        <v>233||['add']||jiani11/human-perception-place-pulse||C30</v>
      </c>
      <c r="L185">
        <f>IF(COUNTIF($K$2:K185, K185)=1, 1, 0)</f>
        <v>0</v>
      </c>
      <c r="M185" t="str">
        <f t="shared" si="24"/>
        <v>233||['add']||jiani11/human-perception-place-pulse||M13</v>
      </c>
      <c r="N185">
        <f>IF(COUNTIF($M$2:M185, M185)=1, 1, 0)</f>
        <v>0</v>
      </c>
      <c r="O185" t="str">
        <f t="shared" si="25"/>
        <v>233||['add']||jiani11/human-perception-place-pulse||T1</v>
      </c>
      <c r="P185">
        <f>IF(COUNTIF($O$2:O185, O185)=1, 1, 0)</f>
        <v>0</v>
      </c>
      <c r="Q185" t="str">
        <f t="shared" si="20"/>
        <v>176||C30</v>
      </c>
      <c r="R185">
        <f>IF(COUNTIF($Q$2:Q185, Q185)=1, 1, 0)</f>
        <v>1</v>
      </c>
      <c r="S185" t="str">
        <f t="shared" si="21"/>
        <v>176||M13</v>
      </c>
      <c r="T185">
        <f>IF(COUNTIF($S$2:S185, S185)=1, 1, 0)</f>
        <v>1</v>
      </c>
      <c r="U185" t="str">
        <f t="shared" si="22"/>
        <v>176||T1</v>
      </c>
      <c r="V185">
        <f>IF(COUNTIF($U$2:U185, U185)=1, 1, 0)</f>
        <v>1</v>
      </c>
      <c r="W185" t="s">
        <v>261</v>
      </c>
      <c r="X185" t="s">
        <v>333</v>
      </c>
      <c r="Y185" t="str">
        <f>_xlfn.XLOOKUP(X185, codes!A:A, codes!F:F, "")</f>
        <v>M13</v>
      </c>
      <c r="Z185" t="str">
        <f>_xlfn.XLOOKUP(Y185, 'sub-themes'!A:A, 'sub-themes'!H:H, "")</f>
        <v>T1</v>
      </c>
    </row>
    <row r="186" spans="1:26" x14ac:dyDescent="0.2">
      <c r="A186">
        <v>177</v>
      </c>
      <c r="B186">
        <v>237</v>
      </c>
      <c r="C186" t="s">
        <v>11</v>
      </c>
      <c r="D186">
        <v>1</v>
      </c>
      <c r="E186">
        <v>1</v>
      </c>
      <c r="F186" t="s">
        <v>8</v>
      </c>
      <c r="G186" t="s">
        <v>190</v>
      </c>
      <c r="H186" t="str">
        <f t="shared" si="23"/>
        <v>facebookai/roberta-large</v>
      </c>
      <c r="I186" t="str">
        <f t="shared" si="27"/>
        <v>237||['add']||facebookai/roberta-large</v>
      </c>
      <c r="J186">
        <f>IF(COUNTIF($I$2:I186, I186)=1, 1, 0)</f>
        <v>1</v>
      </c>
      <c r="K186" t="str">
        <f t="shared" si="19"/>
        <v>237||['add']||facebookai/roberta-large||C67</v>
      </c>
      <c r="L186">
        <f>IF(COUNTIF($K$2:K186, K186)=1, 1, 0)</f>
        <v>1</v>
      </c>
      <c r="M186" t="str">
        <f t="shared" si="24"/>
        <v>237||['add']||facebookai/roberta-large||M10</v>
      </c>
      <c r="N186">
        <f>IF(COUNTIF($M$2:M186, M186)=1, 1, 0)</f>
        <v>1</v>
      </c>
      <c r="O186" t="str">
        <f t="shared" si="25"/>
        <v>237||['add']||facebookai/roberta-large||T3</v>
      </c>
      <c r="P186">
        <f>IF(COUNTIF($O$2:O186, O186)=1, 1, 0)</f>
        <v>1</v>
      </c>
      <c r="Q186" t="str">
        <f t="shared" si="20"/>
        <v>177||C67</v>
      </c>
      <c r="R186">
        <f>IF(COUNTIF($Q$2:Q186, Q186)=1, 1, 0)</f>
        <v>1</v>
      </c>
      <c r="S186" t="str">
        <f t="shared" si="21"/>
        <v>177||M10</v>
      </c>
      <c r="T186">
        <f>IF(COUNTIF($S$2:S186, S186)=1, 1, 0)</f>
        <v>1</v>
      </c>
      <c r="U186" t="str">
        <f t="shared" si="22"/>
        <v>177||T3</v>
      </c>
      <c r="V186">
        <f>IF(COUNTIF($U$2:U186, U186)=1, 1, 0)</f>
        <v>1</v>
      </c>
      <c r="W186" t="s">
        <v>263</v>
      </c>
      <c r="X186" t="s">
        <v>431</v>
      </c>
      <c r="Y186" t="str">
        <f>_xlfn.XLOOKUP(X186, codes!A:A, codes!F:F, "")</f>
        <v>M10</v>
      </c>
      <c r="Z186" t="str">
        <f>_xlfn.XLOOKUP(Y186, 'sub-themes'!A:A, 'sub-themes'!H:H, "")</f>
        <v>T3</v>
      </c>
    </row>
    <row r="187" spans="1:26" x14ac:dyDescent="0.2">
      <c r="A187">
        <v>178</v>
      </c>
      <c r="B187">
        <v>239</v>
      </c>
      <c r="C187" t="s">
        <v>19</v>
      </c>
      <c r="D187">
        <v>3</v>
      </c>
      <c r="E187">
        <v>1</v>
      </c>
      <c r="F187" t="s">
        <v>8</v>
      </c>
      <c r="G187" t="s">
        <v>191</v>
      </c>
      <c r="H187" t="str">
        <f t="shared" si="23"/>
        <v>mistralai/mistral-small-3.1-24b-instruct-2503</v>
      </c>
      <c r="I187" t="str">
        <f t="shared" si="27"/>
        <v>239||['add']||mistralai/mistral-small-3.1-24b-instruct-2503</v>
      </c>
      <c r="J187">
        <f>IF(COUNTIF($I$2:I187, I187)=1, 1, 0)</f>
        <v>1</v>
      </c>
      <c r="K187" t="str">
        <f t="shared" si="19"/>
        <v>239||['add']||mistralai/mistral-small-3.1-24b-instruct-2503||C21</v>
      </c>
      <c r="L187">
        <f>IF(COUNTIF($K$2:K187, K187)=1, 1, 0)</f>
        <v>1</v>
      </c>
      <c r="M187" t="str">
        <f t="shared" si="24"/>
        <v>239||['add']||mistralai/mistral-small-3.1-24b-instruct-2503||M2</v>
      </c>
      <c r="N187">
        <f>IF(COUNTIF($M$2:M187, M187)=1, 1, 0)</f>
        <v>1</v>
      </c>
      <c r="O187" t="str">
        <f t="shared" si="25"/>
        <v>239||['add']||mistralai/mistral-small-3.1-24b-instruct-2503||T2</v>
      </c>
      <c r="P187">
        <f>IF(COUNTIF($O$2:O187, O187)=1, 1, 0)</f>
        <v>1</v>
      </c>
      <c r="Q187" t="str">
        <f t="shared" si="20"/>
        <v>178||C21</v>
      </c>
      <c r="R187">
        <f>IF(COUNTIF($Q$2:Q187, Q187)=1, 1, 0)</f>
        <v>1</v>
      </c>
      <c r="S187" t="str">
        <f t="shared" si="21"/>
        <v>178||M2</v>
      </c>
      <c r="T187">
        <f>IF(COUNTIF($S$2:S187, S187)=1, 1, 0)</f>
        <v>1</v>
      </c>
      <c r="U187" t="str">
        <f t="shared" si="22"/>
        <v>178||T2</v>
      </c>
      <c r="V187">
        <f>IF(COUNTIF($U$2:U187, U187)=1, 1, 0)</f>
        <v>1</v>
      </c>
      <c r="W187" t="s">
        <v>262</v>
      </c>
      <c r="X187" t="s">
        <v>319</v>
      </c>
      <c r="Y187" t="str">
        <f>_xlfn.XLOOKUP(X187, codes!A:A, codes!F:F, "")</f>
        <v>M2</v>
      </c>
      <c r="Z187" t="str">
        <f>_xlfn.XLOOKUP(Y187, 'sub-themes'!A:A, 'sub-themes'!H:H, "")</f>
        <v>T2</v>
      </c>
    </row>
    <row r="188" spans="1:26" x14ac:dyDescent="0.2">
      <c r="A188">
        <v>179</v>
      </c>
      <c r="B188">
        <v>241</v>
      </c>
      <c r="C188" t="s">
        <v>19</v>
      </c>
      <c r="D188">
        <v>2</v>
      </c>
      <c r="E188">
        <v>1</v>
      </c>
      <c r="F188" t="s">
        <v>8</v>
      </c>
      <c r="G188" t="s">
        <v>192</v>
      </c>
      <c r="H188" t="str">
        <f t="shared" si="23"/>
        <v>google/t5-v1_1-xxl</v>
      </c>
      <c r="I188" t="str">
        <f t="shared" si="27"/>
        <v>241||['add']||google/t5-v1_1-xxl</v>
      </c>
      <c r="J188">
        <f>IF(COUNTIF($I$2:I188, I188)=1, 1, 0)</f>
        <v>1</v>
      </c>
      <c r="K188" t="str">
        <f t="shared" si="19"/>
        <v>241||['add']||google/t5-v1_1-xxl||C56</v>
      </c>
      <c r="L188">
        <f>IF(COUNTIF($K$2:K188, K188)=1, 1, 0)</f>
        <v>1</v>
      </c>
      <c r="M188" t="str">
        <f t="shared" si="24"/>
        <v>241||['add']||google/t5-v1_1-xxl||M21</v>
      </c>
      <c r="N188">
        <f>IF(COUNTIF($M$2:M188, M188)=1, 1, 0)</f>
        <v>1</v>
      </c>
      <c r="O188" t="str">
        <f t="shared" si="25"/>
        <v>241||['add']||google/t5-v1_1-xxl||T2</v>
      </c>
      <c r="P188">
        <f>IF(COUNTIF($O$2:O188, O188)=1, 1, 0)</f>
        <v>1</v>
      </c>
      <c r="Q188" t="str">
        <f t="shared" si="20"/>
        <v>179||C56</v>
      </c>
      <c r="R188">
        <f>IF(COUNTIF($Q$2:Q188, Q188)=1, 1, 0)</f>
        <v>1</v>
      </c>
      <c r="S188" t="str">
        <f t="shared" si="21"/>
        <v>179||M21</v>
      </c>
      <c r="T188">
        <f>IF(COUNTIF($S$2:S188, S188)=1, 1, 0)</f>
        <v>1</v>
      </c>
      <c r="U188" t="str">
        <f t="shared" si="22"/>
        <v>179||T2</v>
      </c>
      <c r="V188">
        <f>IF(COUNTIF($U$2:U188, U188)=1, 1, 0)</f>
        <v>1</v>
      </c>
      <c r="W188" t="s">
        <v>264</v>
      </c>
      <c r="X188" t="s">
        <v>410</v>
      </c>
      <c r="Y188" t="str">
        <f>_xlfn.XLOOKUP(X188, codes!A:A, codes!F:F, "")</f>
        <v>M21</v>
      </c>
      <c r="Z188" t="str">
        <f>_xlfn.XLOOKUP(Y188, 'sub-themes'!A:A, 'sub-themes'!H:H, "")</f>
        <v>T2</v>
      </c>
    </row>
    <row r="189" spans="1:26" x14ac:dyDescent="0.2">
      <c r="A189">
        <v>180</v>
      </c>
      <c r="B189">
        <v>244</v>
      </c>
      <c r="C189" t="s">
        <v>7</v>
      </c>
      <c r="D189">
        <v>4</v>
      </c>
      <c r="E189">
        <v>1</v>
      </c>
      <c r="F189" t="s">
        <v>8</v>
      </c>
      <c r="G189" t="s">
        <v>193</v>
      </c>
      <c r="H189" t="str">
        <f t="shared" si="23"/>
        <v>helsinki-nlp/opus-mt-zh-en</v>
      </c>
      <c r="I189" t="str">
        <f t="shared" si="27"/>
        <v>244||['add']||helsinki-nlp/opus-mt-zh-en</v>
      </c>
      <c r="J189">
        <f>IF(COUNTIF($I$2:I189, I189)=1, 1, 0)</f>
        <v>1</v>
      </c>
      <c r="K189" t="str">
        <f t="shared" si="19"/>
        <v>244||['add']||helsinki-nlp/opus-mt-zh-en||C15</v>
      </c>
      <c r="L189">
        <f>IF(COUNTIF($K$2:K189, K189)=1, 1, 0)</f>
        <v>1</v>
      </c>
      <c r="M189" t="str">
        <f t="shared" si="24"/>
        <v>244||['add']||helsinki-nlp/opus-mt-zh-en||M1</v>
      </c>
      <c r="N189">
        <f>IF(COUNTIF($M$2:M189, M189)=1, 1, 0)</f>
        <v>1</v>
      </c>
      <c r="O189" t="str">
        <f t="shared" si="25"/>
        <v>244||['add']||helsinki-nlp/opus-mt-zh-en||T1</v>
      </c>
      <c r="P189">
        <f>IF(COUNTIF($O$2:O189, O189)=1, 1, 0)</f>
        <v>1</v>
      </c>
      <c r="Q189" t="str">
        <f t="shared" si="20"/>
        <v>180||C15</v>
      </c>
      <c r="R189">
        <f>IF(COUNTIF($Q$2:Q189, Q189)=1, 1, 0)</f>
        <v>1</v>
      </c>
      <c r="S189" t="str">
        <f t="shared" si="21"/>
        <v>180||M1</v>
      </c>
      <c r="T189">
        <f>IF(COUNTIF($S$2:S189, S189)=1, 1, 0)</f>
        <v>1</v>
      </c>
      <c r="U189" t="str">
        <f t="shared" si="22"/>
        <v>180||T1</v>
      </c>
      <c r="V189">
        <f>IF(COUNTIF($U$2:U189, U189)=1, 1, 0)</f>
        <v>1</v>
      </c>
      <c r="W189" t="s">
        <v>265</v>
      </c>
      <c r="X189" t="s">
        <v>308</v>
      </c>
      <c r="Y189" t="str">
        <f>_xlfn.XLOOKUP(X189, codes!A:A, codes!F:F, "")</f>
        <v>M1</v>
      </c>
      <c r="Z189" t="str">
        <f>_xlfn.XLOOKUP(Y189, 'sub-themes'!A:A, 'sub-themes'!H:H, "")</f>
        <v>T1</v>
      </c>
    </row>
    <row r="190" spans="1:26" x14ac:dyDescent="0.2">
      <c r="A190">
        <v>181</v>
      </c>
      <c r="B190">
        <v>246</v>
      </c>
      <c r="C190" t="s">
        <v>7</v>
      </c>
      <c r="D190">
        <v>5</v>
      </c>
      <c r="E190">
        <v>2</v>
      </c>
      <c r="F190" t="s">
        <v>8</v>
      </c>
      <c r="G190" t="s">
        <v>194</v>
      </c>
      <c r="H190" t="str">
        <f t="shared" si="23"/>
        <v>openai/clip-vit-large-patch14|openai/clip-vit-base-patch16</v>
      </c>
      <c r="I190" t="str">
        <f t="shared" si="27"/>
        <v>246||['add']||openai/clip-vit-large-patch14|openai/clip-vit-base-patch16</v>
      </c>
      <c r="J190">
        <f>IF(COUNTIF($I$2:I190, I190)=1, 1, 0)</f>
        <v>1</v>
      </c>
      <c r="K190" t="str">
        <f t="shared" si="19"/>
        <v>246||['add']||openai/clip-vit-large-patch14|openai/clip-vit-base-patch16||C42</v>
      </c>
      <c r="L190">
        <f>IF(COUNTIF($K$2:K190, K190)=1, 1, 0)</f>
        <v>1</v>
      </c>
      <c r="M190" t="str">
        <f t="shared" si="24"/>
        <v>246||['add']||openai/clip-vit-large-patch14|openai/clip-vit-base-patch16||M4</v>
      </c>
      <c r="N190">
        <f>IF(COUNTIF($M$2:M190, M190)=1, 1, 0)</f>
        <v>1</v>
      </c>
      <c r="O190" t="str">
        <f t="shared" si="25"/>
        <v>246||['add']||openai/clip-vit-large-patch14|openai/clip-vit-base-patch16||T1</v>
      </c>
      <c r="P190">
        <f>IF(COUNTIF($O$2:O190, O190)=1, 1, 0)</f>
        <v>1</v>
      </c>
      <c r="Q190" t="str">
        <f t="shared" si="20"/>
        <v>181||C42</v>
      </c>
      <c r="R190">
        <f>IF(COUNTIF($Q$2:Q190, Q190)=1, 1, 0)</f>
        <v>1</v>
      </c>
      <c r="S190" t="str">
        <f t="shared" si="21"/>
        <v>181||M4</v>
      </c>
      <c r="T190">
        <f>IF(COUNTIF($S$2:S190, S190)=1, 1, 0)</f>
        <v>1</v>
      </c>
      <c r="U190" t="str">
        <f t="shared" si="22"/>
        <v>181||T1</v>
      </c>
      <c r="V190">
        <f>IF(COUNTIF($U$2:U190, U190)=1, 1, 0)</f>
        <v>1</v>
      </c>
      <c r="W190" t="s">
        <v>266</v>
      </c>
      <c r="X190" t="s">
        <v>355</v>
      </c>
      <c r="Y190" t="str">
        <f>_xlfn.XLOOKUP(X190, codes!A:A, codes!F:F, "")</f>
        <v>M4</v>
      </c>
      <c r="Z190" t="str">
        <f>_xlfn.XLOOKUP(Y190, 'sub-themes'!A:A, 'sub-themes'!H:H, "")</f>
        <v>T1</v>
      </c>
    </row>
    <row r="191" spans="1:26" x14ac:dyDescent="0.2">
      <c r="A191">
        <v>182</v>
      </c>
      <c r="B191">
        <v>246</v>
      </c>
      <c r="C191" t="s">
        <v>19</v>
      </c>
      <c r="D191">
        <v>5</v>
      </c>
      <c r="E191">
        <v>2</v>
      </c>
      <c r="F191" t="s">
        <v>8</v>
      </c>
      <c r="G191" t="s">
        <v>194</v>
      </c>
      <c r="H191" t="str">
        <f t="shared" si="23"/>
        <v>openai/clip-vit-large-patch14|openai/clip-vit-base-patch16</v>
      </c>
      <c r="I191" t="str">
        <f t="shared" si="27"/>
        <v>246||['add']||openai/clip-vit-large-patch14|openai/clip-vit-base-patch16</v>
      </c>
      <c r="J191">
        <f>IF(COUNTIF($I$2:I191, I191)=1, 1, 0)</f>
        <v>0</v>
      </c>
      <c r="K191" t="str">
        <f t="shared" si="19"/>
        <v>246||['add']||openai/clip-vit-large-patch14|openai/clip-vit-base-patch16||C42</v>
      </c>
      <c r="L191">
        <f>IF(COUNTIF($K$2:K191, K191)=1, 1, 0)</f>
        <v>0</v>
      </c>
      <c r="M191" t="str">
        <f t="shared" si="24"/>
        <v>246||['add']||openai/clip-vit-large-patch14|openai/clip-vit-base-patch16||M4</v>
      </c>
      <c r="N191">
        <f>IF(COUNTIF($M$2:M191, M191)=1, 1, 0)</f>
        <v>0</v>
      </c>
      <c r="O191" t="str">
        <f t="shared" si="25"/>
        <v>246||['add']||openai/clip-vit-large-patch14|openai/clip-vit-base-patch16||T1</v>
      </c>
      <c r="P191">
        <f>IF(COUNTIF($O$2:O191, O191)=1, 1, 0)</f>
        <v>0</v>
      </c>
      <c r="Q191" t="str">
        <f t="shared" si="20"/>
        <v>182||C42</v>
      </c>
      <c r="R191">
        <f>IF(COUNTIF($Q$2:Q191, Q191)=1, 1, 0)</f>
        <v>1</v>
      </c>
      <c r="S191" t="str">
        <f t="shared" si="21"/>
        <v>182||M4</v>
      </c>
      <c r="T191">
        <f>IF(COUNTIF($S$2:S191, S191)=1, 1, 0)</f>
        <v>1</v>
      </c>
      <c r="U191" t="str">
        <f t="shared" si="22"/>
        <v>182||T1</v>
      </c>
      <c r="V191">
        <f>IF(COUNTIF($U$2:U191, U191)=1, 1, 0)</f>
        <v>1</v>
      </c>
      <c r="W191" t="s">
        <v>195</v>
      </c>
      <c r="X191" t="s">
        <v>355</v>
      </c>
      <c r="Y191" t="str">
        <f>_xlfn.XLOOKUP(X191, codes!A:A, codes!F:F, "")</f>
        <v>M4</v>
      </c>
      <c r="Z191" t="str">
        <f>_xlfn.XLOOKUP(Y191, 'sub-themes'!A:A, 'sub-themes'!H:H, "")</f>
        <v>T1</v>
      </c>
    </row>
    <row r="192" spans="1:26" x14ac:dyDescent="0.2">
      <c r="A192">
        <v>183</v>
      </c>
      <c r="B192">
        <v>247</v>
      </c>
      <c r="C192" t="s">
        <v>15</v>
      </c>
      <c r="D192">
        <v>2</v>
      </c>
      <c r="E192">
        <v>2</v>
      </c>
      <c r="F192" t="s">
        <v>8</v>
      </c>
      <c r="G192" t="s">
        <v>196</v>
      </c>
      <c r="H192" t="str">
        <f t="shared" si="23"/>
        <v>google/mobilebert-uncased|microsoft/swin-base-patch4-window7-224</v>
      </c>
      <c r="I192" t="str">
        <f t="shared" si="27"/>
        <v>247||['add']||google/mobilebert-uncased|microsoft/swin-base-patch4-window7-224</v>
      </c>
      <c r="J192">
        <f>IF(COUNTIF($I$2:I192, I192)=1, 1, 0)</f>
        <v>1</v>
      </c>
      <c r="K192" t="str">
        <f t="shared" si="19"/>
        <v>247||['add']||google/mobilebert-uncased|microsoft/swin-base-patch4-window7-224||C43</v>
      </c>
      <c r="L192">
        <f>IF(COUNTIF($K$2:K192, K192)=1, 1, 0)</f>
        <v>1</v>
      </c>
      <c r="M192" t="str">
        <f t="shared" si="24"/>
        <v>247||['add']||google/mobilebert-uncased|microsoft/swin-base-patch4-window7-224||M26</v>
      </c>
      <c r="N192">
        <f>IF(COUNTIF($M$2:M192, M192)=1, 1, 0)</f>
        <v>1</v>
      </c>
      <c r="O192" t="str">
        <f t="shared" si="25"/>
        <v>247||['add']||google/mobilebert-uncased|microsoft/swin-base-patch4-window7-224||T1</v>
      </c>
      <c r="P192">
        <f>IF(COUNTIF($O$2:O192, O192)=1, 1, 0)</f>
        <v>1</v>
      </c>
      <c r="Q192" t="str">
        <f t="shared" si="20"/>
        <v>183||C43</v>
      </c>
      <c r="R192">
        <f>IF(COUNTIF($Q$2:Q192, Q192)=1, 1, 0)</f>
        <v>1</v>
      </c>
      <c r="S192" t="str">
        <f t="shared" si="21"/>
        <v>183||M26</v>
      </c>
      <c r="T192">
        <f>IF(COUNTIF($S$2:S192, S192)=1, 1, 0)</f>
        <v>1</v>
      </c>
      <c r="U192" t="str">
        <f t="shared" si="22"/>
        <v>183||T1</v>
      </c>
      <c r="V192">
        <f>IF(COUNTIF($U$2:U192, U192)=1, 1, 0)</f>
        <v>1</v>
      </c>
      <c r="W192" t="s">
        <v>267</v>
      </c>
      <c r="X192" t="s">
        <v>356</v>
      </c>
      <c r="Y192" t="str">
        <f>_xlfn.XLOOKUP(X192, codes!A:A, codes!F:F, "")</f>
        <v>M26</v>
      </c>
      <c r="Z192" t="str">
        <f>_xlfn.XLOOKUP(Y192, 'sub-themes'!A:A, 'sub-themes'!H:H, "")</f>
        <v>T1</v>
      </c>
    </row>
    <row r="193" spans="1:26" x14ac:dyDescent="0.2">
      <c r="A193">
        <v>184</v>
      </c>
      <c r="B193">
        <v>248</v>
      </c>
      <c r="C193" t="s">
        <v>7</v>
      </c>
      <c r="D193">
        <v>1</v>
      </c>
      <c r="E193">
        <v>1</v>
      </c>
      <c r="F193" t="s">
        <v>8</v>
      </c>
      <c r="G193" t="s">
        <v>197</v>
      </c>
      <c r="H193" t="str">
        <f t="shared" si="23"/>
        <v>stabilityai/stable-video-diffusion-img2vid-xt</v>
      </c>
      <c r="I193" t="str">
        <f t="shared" si="27"/>
        <v>248||['add']||stabilityai/stable-video-diffusion-img2vid-xt</v>
      </c>
      <c r="J193">
        <f>IF(COUNTIF($I$2:I193, I193)=1, 1, 0)</f>
        <v>1</v>
      </c>
      <c r="K193" t="str">
        <f t="shared" si="19"/>
        <v>248||['add']||stabilityai/stable-video-diffusion-img2vid-xt||C44</v>
      </c>
      <c r="L193">
        <f>IF(COUNTIF($K$2:K193, K193)=1, 1, 0)</f>
        <v>1</v>
      </c>
      <c r="M193" t="str">
        <f t="shared" si="24"/>
        <v>248||['add']||stabilityai/stable-video-diffusion-img2vid-xt||M4</v>
      </c>
      <c r="N193">
        <f>IF(COUNTIF($M$2:M193, M193)=1, 1, 0)</f>
        <v>1</v>
      </c>
      <c r="O193" t="str">
        <f t="shared" si="25"/>
        <v>248||['add']||stabilityai/stable-video-diffusion-img2vid-xt||T1</v>
      </c>
      <c r="P193">
        <f>IF(COUNTIF($O$2:O193, O193)=1, 1, 0)</f>
        <v>1</v>
      </c>
      <c r="Q193" t="str">
        <f t="shared" si="20"/>
        <v>184||C44</v>
      </c>
      <c r="R193">
        <f>IF(COUNTIF($Q$2:Q193, Q193)=1, 1, 0)</f>
        <v>1</v>
      </c>
      <c r="S193" t="str">
        <f t="shared" si="21"/>
        <v>184||M4</v>
      </c>
      <c r="T193">
        <f>IF(COUNTIF($S$2:S193, S193)=1, 1, 0)</f>
        <v>1</v>
      </c>
      <c r="U193" t="str">
        <f t="shared" si="22"/>
        <v>184||T1</v>
      </c>
      <c r="V193">
        <f>IF(COUNTIF($U$2:U193, U193)=1, 1, 0)</f>
        <v>1</v>
      </c>
      <c r="W193" t="s">
        <v>198</v>
      </c>
      <c r="X193" t="s">
        <v>358</v>
      </c>
      <c r="Y193" t="str">
        <f>_xlfn.XLOOKUP(X193, codes!A:A, codes!F:F, "")</f>
        <v>M4</v>
      </c>
      <c r="Z193" t="str">
        <f>_xlfn.XLOOKUP(Y193, 'sub-themes'!A:A, 'sub-themes'!H:H, "")</f>
        <v>T1</v>
      </c>
    </row>
    <row r="194" spans="1:26" x14ac:dyDescent="0.2">
      <c r="A194">
        <v>185</v>
      </c>
      <c r="B194">
        <v>248</v>
      </c>
      <c r="C194" t="s">
        <v>19</v>
      </c>
      <c r="D194">
        <v>1</v>
      </c>
      <c r="E194">
        <v>1</v>
      </c>
      <c r="F194" t="s">
        <v>8</v>
      </c>
      <c r="G194" t="s">
        <v>197</v>
      </c>
      <c r="H194" t="str">
        <f t="shared" si="23"/>
        <v>stabilityai/stable-video-diffusion-img2vid-xt</v>
      </c>
      <c r="I194" t="str">
        <f t="shared" si="27"/>
        <v>248||['add']||stabilityai/stable-video-diffusion-img2vid-xt</v>
      </c>
      <c r="J194">
        <f>IF(COUNTIF($I$2:I194, I194)=1, 1, 0)</f>
        <v>0</v>
      </c>
      <c r="K194" t="str">
        <f t="shared" ref="K194:K220" si="28">I194 &amp; "||" &amp; X194</f>
        <v>248||['add']||stabilityai/stable-video-diffusion-img2vid-xt||C44</v>
      </c>
      <c r="L194">
        <f>IF(COUNTIF($K$2:K194, K194)=1, 1, 0)</f>
        <v>0</v>
      </c>
      <c r="M194" t="str">
        <f t="shared" si="24"/>
        <v>248||['add']||stabilityai/stable-video-diffusion-img2vid-xt||M4</v>
      </c>
      <c r="N194">
        <f>IF(COUNTIF($M$2:M194, M194)=1, 1, 0)</f>
        <v>0</v>
      </c>
      <c r="O194" t="str">
        <f t="shared" si="25"/>
        <v>248||['add']||stabilityai/stable-video-diffusion-img2vid-xt||T1</v>
      </c>
      <c r="P194">
        <f>IF(COUNTIF($O$2:O194, O194)=1, 1, 0)</f>
        <v>0</v>
      </c>
      <c r="Q194" t="str">
        <f t="shared" ref="Q194:Q220" si="29">A194&amp; "||" &amp; X194</f>
        <v>185||C44</v>
      </c>
      <c r="R194">
        <f>IF(COUNTIF($Q$2:Q194, Q194)=1, 1, 0)</f>
        <v>1</v>
      </c>
      <c r="S194" t="str">
        <f t="shared" ref="S194:S220" si="30">A194&amp; "||" &amp; Y194</f>
        <v>185||M4</v>
      </c>
      <c r="T194">
        <f>IF(COUNTIF($S$2:S194, S194)=1, 1, 0)</f>
        <v>1</v>
      </c>
      <c r="U194" t="str">
        <f t="shared" ref="U194:U220" si="31">A194&amp; "||" &amp; Z194</f>
        <v>185||T1</v>
      </c>
      <c r="V194">
        <f>IF(COUNTIF($U$2:U194, U194)=1, 1, 0)</f>
        <v>1</v>
      </c>
      <c r="W194" t="s">
        <v>199</v>
      </c>
      <c r="X194" t="s">
        <v>358</v>
      </c>
      <c r="Y194" t="str">
        <f>_xlfn.XLOOKUP(X194, codes!A:A, codes!F:F, "")</f>
        <v>M4</v>
      </c>
      <c r="Z194" t="str">
        <f>_xlfn.XLOOKUP(Y194, 'sub-themes'!A:A, 'sub-themes'!H:H, "")</f>
        <v>T1</v>
      </c>
    </row>
    <row r="195" spans="1:26" x14ac:dyDescent="0.2">
      <c r="A195">
        <v>186</v>
      </c>
      <c r="B195">
        <v>249</v>
      </c>
      <c r="C195" t="s">
        <v>19</v>
      </c>
      <c r="D195">
        <v>2</v>
      </c>
      <c r="E195">
        <v>1</v>
      </c>
      <c r="F195" t="s">
        <v>8</v>
      </c>
      <c r="G195" t="s">
        <v>168</v>
      </c>
      <c r="H195" t="str">
        <f t="shared" ref="H195:H220" si="32">SUBSTITUTE(SUBSTITUTE(SUBSTITUTE(SUBSTITUTE(G195,"[",""),"]",""),"'",""),", ","|")</f>
        <v>facebook/opt-125m</v>
      </c>
      <c r="I195" t="str">
        <f t="shared" si="27"/>
        <v>249||['add']||facebook/opt-125m</v>
      </c>
      <c r="J195">
        <f>IF(COUNTIF($I$2:I195, I195)=1, 1, 0)</f>
        <v>1</v>
      </c>
      <c r="K195" t="str">
        <f t="shared" si="28"/>
        <v>249||['add']||facebook/opt-125m||C24</v>
      </c>
      <c r="L195">
        <f>IF(COUNTIF($K$2:K195, K195)=1, 1, 0)</f>
        <v>1</v>
      </c>
      <c r="M195" t="str">
        <f t="shared" ref="M195:M220" si="33">I195 &amp; "||" &amp; Y195</f>
        <v>249||['add']||facebook/opt-125m||M6</v>
      </c>
      <c r="N195">
        <f>IF(COUNTIF($M$2:M195, M195)=1, 1, 0)</f>
        <v>1</v>
      </c>
      <c r="O195" t="str">
        <f t="shared" ref="O195:O220" si="34">I195 &amp; "||" &amp; Z195</f>
        <v>249||['add']||facebook/opt-125m||T4</v>
      </c>
      <c r="P195">
        <f>IF(COUNTIF($O$2:O195, O195)=1, 1, 0)</f>
        <v>1</v>
      </c>
      <c r="Q195" t="str">
        <f t="shared" si="29"/>
        <v>186||C24</v>
      </c>
      <c r="R195">
        <f>IF(COUNTIF($Q$2:Q195, Q195)=1, 1, 0)</f>
        <v>1</v>
      </c>
      <c r="S195" t="str">
        <f t="shared" si="30"/>
        <v>186||M6</v>
      </c>
      <c r="T195">
        <f>IF(COUNTIF($S$2:S195, S195)=1, 1, 0)</f>
        <v>1</v>
      </c>
      <c r="U195" t="str">
        <f t="shared" si="31"/>
        <v>186||T4</v>
      </c>
      <c r="V195">
        <f>IF(COUNTIF($U$2:U195, U195)=1, 1, 0)</f>
        <v>1</v>
      </c>
      <c r="W195" t="s">
        <v>268</v>
      </c>
      <c r="X195" t="s">
        <v>323</v>
      </c>
      <c r="Y195" t="str">
        <f>_xlfn.XLOOKUP(X195, codes!A:A, codes!F:F, "")</f>
        <v>M6</v>
      </c>
      <c r="Z195" t="str">
        <f>_xlfn.XLOOKUP(Y195, 'sub-themes'!A:A, 'sub-themes'!H:H, "")</f>
        <v>T4</v>
      </c>
    </row>
    <row r="196" spans="1:26" x14ac:dyDescent="0.2">
      <c r="A196">
        <v>187</v>
      </c>
      <c r="B196">
        <v>252</v>
      </c>
      <c r="C196" t="s">
        <v>7</v>
      </c>
      <c r="D196">
        <v>1</v>
      </c>
      <c r="E196">
        <v>1</v>
      </c>
      <c r="F196" t="s">
        <v>8</v>
      </c>
      <c r="G196" t="s">
        <v>59</v>
      </c>
      <c r="H196" t="str">
        <f t="shared" si="32"/>
        <v>openai-community/gpt2</v>
      </c>
      <c r="I196" t="str">
        <f t="shared" si="27"/>
        <v>252||['add']||openai-community/gpt2</v>
      </c>
      <c r="J196">
        <f>IF(COUNTIF($I$2:I196, I196)=1, 1, 0)</f>
        <v>1</v>
      </c>
      <c r="K196" t="str">
        <f t="shared" si="28"/>
        <v>252||['add']||openai-community/gpt2||C34</v>
      </c>
      <c r="L196">
        <f>IF(COUNTIF($K$2:K196, K196)=1, 1, 0)</f>
        <v>1</v>
      </c>
      <c r="M196" t="str">
        <f t="shared" si="33"/>
        <v>252||['add']||openai-community/gpt2||M1</v>
      </c>
      <c r="N196">
        <f>IF(COUNTIF($M$2:M196, M196)=1, 1, 0)</f>
        <v>1</v>
      </c>
      <c r="O196" t="str">
        <f t="shared" si="34"/>
        <v>252||['add']||openai-community/gpt2||T1</v>
      </c>
      <c r="P196">
        <f>IF(COUNTIF($O$2:O196, O196)=1, 1, 0)</f>
        <v>1</v>
      </c>
      <c r="Q196" t="str">
        <f t="shared" si="29"/>
        <v>187||C34</v>
      </c>
      <c r="R196">
        <f>IF(COUNTIF($Q$2:Q196, Q196)=1, 1, 0)</f>
        <v>1</v>
      </c>
      <c r="S196" t="str">
        <f t="shared" si="30"/>
        <v>187||M1</v>
      </c>
      <c r="T196">
        <f>IF(COUNTIF($S$2:S196, S196)=1, 1, 0)</f>
        <v>1</v>
      </c>
      <c r="U196" t="str">
        <f t="shared" si="31"/>
        <v>187||T1</v>
      </c>
      <c r="V196">
        <f>IF(COUNTIF($U$2:U196, U196)=1, 1, 0)</f>
        <v>1</v>
      </c>
      <c r="W196" t="s">
        <v>200</v>
      </c>
      <c r="X196" t="s">
        <v>341</v>
      </c>
      <c r="Y196" t="str">
        <f>_xlfn.XLOOKUP(X196, codes!A:A, codes!F:F, "")</f>
        <v>M1</v>
      </c>
      <c r="Z196" t="str">
        <f>_xlfn.XLOOKUP(Y196, 'sub-themes'!A:A, 'sub-themes'!H:H, "")</f>
        <v>T1</v>
      </c>
    </row>
    <row r="197" spans="1:26" x14ac:dyDescent="0.2">
      <c r="A197">
        <v>188</v>
      </c>
      <c r="B197">
        <v>252</v>
      </c>
      <c r="C197" t="s">
        <v>19</v>
      </c>
      <c r="D197">
        <v>1</v>
      </c>
      <c r="E197">
        <v>1</v>
      </c>
      <c r="F197" t="s">
        <v>8</v>
      </c>
      <c r="G197" t="s">
        <v>59</v>
      </c>
      <c r="H197" t="str">
        <f t="shared" si="32"/>
        <v>openai-community/gpt2</v>
      </c>
      <c r="I197" t="str">
        <f t="shared" si="27"/>
        <v>252||['add']||openai-community/gpt2</v>
      </c>
      <c r="J197">
        <f>IF(COUNTIF($I$2:I197, I197)=1, 1, 0)</f>
        <v>0</v>
      </c>
      <c r="K197" t="str">
        <f t="shared" si="28"/>
        <v>252||['add']||openai-community/gpt2||C34</v>
      </c>
      <c r="L197">
        <f>IF(COUNTIF($K$2:K197, K197)=1, 1, 0)</f>
        <v>0</v>
      </c>
      <c r="M197" t="str">
        <f t="shared" si="33"/>
        <v>252||['add']||openai-community/gpt2||M1</v>
      </c>
      <c r="N197">
        <f>IF(COUNTIF($M$2:M197, M197)=1, 1, 0)</f>
        <v>0</v>
      </c>
      <c r="O197" t="str">
        <f t="shared" si="34"/>
        <v>252||['add']||openai-community/gpt2||T1</v>
      </c>
      <c r="P197">
        <f>IF(COUNTIF($O$2:O197, O197)=1, 1, 0)</f>
        <v>0</v>
      </c>
      <c r="Q197" t="str">
        <f t="shared" si="29"/>
        <v>188||C34</v>
      </c>
      <c r="R197">
        <f>IF(COUNTIF($Q$2:Q197, Q197)=1, 1, 0)</f>
        <v>1</v>
      </c>
      <c r="S197" t="str">
        <f t="shared" si="30"/>
        <v>188||M1</v>
      </c>
      <c r="T197">
        <f>IF(COUNTIF($S$2:S197, S197)=1, 1, 0)</f>
        <v>1</v>
      </c>
      <c r="U197" t="str">
        <f t="shared" si="31"/>
        <v>188||T1</v>
      </c>
      <c r="V197">
        <f>IF(COUNTIF($U$2:U197, U197)=1, 1, 0)</f>
        <v>1</v>
      </c>
      <c r="W197" t="s">
        <v>201</v>
      </c>
      <c r="X197" t="s">
        <v>341</v>
      </c>
      <c r="Y197" t="str">
        <f>_xlfn.XLOOKUP(X197, codes!A:A, codes!F:F, "")</f>
        <v>M1</v>
      </c>
      <c r="Z197" t="str">
        <f>_xlfn.XLOOKUP(Y197, 'sub-themes'!A:A, 'sub-themes'!H:H, "")</f>
        <v>T1</v>
      </c>
    </row>
    <row r="198" spans="1:26" x14ac:dyDescent="0.2">
      <c r="A198">
        <v>189</v>
      </c>
      <c r="B198">
        <v>253</v>
      </c>
      <c r="C198" t="s">
        <v>15</v>
      </c>
      <c r="D198">
        <v>1</v>
      </c>
      <c r="E198">
        <v>1</v>
      </c>
      <c r="F198" t="s">
        <v>8</v>
      </c>
      <c r="G198" t="s">
        <v>30</v>
      </c>
      <c r="H198" t="str">
        <f t="shared" si="32"/>
        <v>openai/whisper-tiny</v>
      </c>
      <c r="I198" t="str">
        <f t="shared" si="27"/>
        <v>253||['add']||openai/whisper-tiny</v>
      </c>
      <c r="J198">
        <f>IF(COUNTIF($I$2:I198, I198)=1, 1, 0)</f>
        <v>1</v>
      </c>
      <c r="K198" t="str">
        <f t="shared" si="28"/>
        <v>253||['add']||openai/whisper-tiny||C10</v>
      </c>
      <c r="L198">
        <f>IF(COUNTIF($K$2:K198, K198)=1, 1, 0)</f>
        <v>1</v>
      </c>
      <c r="M198" t="str">
        <f t="shared" si="33"/>
        <v>253||['add']||openai/whisper-tiny||M10</v>
      </c>
      <c r="N198">
        <f>IF(COUNTIF($M$2:M198, M198)=1, 1, 0)</f>
        <v>1</v>
      </c>
      <c r="O198" t="str">
        <f t="shared" si="34"/>
        <v>253||['add']||openai/whisper-tiny||T3</v>
      </c>
      <c r="P198">
        <f>IF(COUNTIF($O$2:O198, O198)=1, 1, 0)</f>
        <v>1</v>
      </c>
      <c r="Q198" t="str">
        <f t="shared" si="29"/>
        <v>189||C10</v>
      </c>
      <c r="R198">
        <f>IF(COUNTIF($Q$2:Q198, Q198)=1, 1, 0)</f>
        <v>1</v>
      </c>
      <c r="S198" t="str">
        <f t="shared" si="30"/>
        <v>189||M10</v>
      </c>
      <c r="T198">
        <f>IF(COUNTIF($S$2:S198, S198)=1, 1, 0)</f>
        <v>1</v>
      </c>
      <c r="U198" t="str">
        <f t="shared" si="31"/>
        <v>189||T3</v>
      </c>
      <c r="V198">
        <f>IF(COUNTIF($U$2:U198, U198)=1, 1, 0)</f>
        <v>1</v>
      </c>
      <c r="W198" t="s">
        <v>202</v>
      </c>
      <c r="X198" t="s">
        <v>300</v>
      </c>
      <c r="Y198" t="str">
        <f>_xlfn.XLOOKUP(X198, codes!A:A, codes!F:F, "")</f>
        <v>M10</v>
      </c>
      <c r="Z198" t="str">
        <f>_xlfn.XLOOKUP(Y198, 'sub-themes'!A:A, 'sub-themes'!H:H, "")</f>
        <v>T3</v>
      </c>
    </row>
    <row r="199" spans="1:26" x14ac:dyDescent="0.2">
      <c r="A199">
        <v>190</v>
      </c>
      <c r="B199">
        <v>253</v>
      </c>
      <c r="C199" t="s">
        <v>19</v>
      </c>
      <c r="D199">
        <v>1</v>
      </c>
      <c r="E199">
        <v>1</v>
      </c>
      <c r="F199" t="s">
        <v>8</v>
      </c>
      <c r="G199" t="s">
        <v>30</v>
      </c>
      <c r="H199" t="str">
        <f t="shared" si="32"/>
        <v>openai/whisper-tiny</v>
      </c>
      <c r="I199" t="str">
        <f t="shared" si="27"/>
        <v>253||['add']||openai/whisper-tiny</v>
      </c>
      <c r="J199">
        <f>IF(COUNTIF($I$2:I199, I199)=1, 1, 0)</f>
        <v>0</v>
      </c>
      <c r="K199" t="str">
        <f t="shared" si="28"/>
        <v>253||['add']||openai/whisper-tiny||C10</v>
      </c>
      <c r="L199">
        <f>IF(COUNTIF($K$2:K199, K199)=1, 1, 0)</f>
        <v>0</v>
      </c>
      <c r="M199" t="str">
        <f t="shared" si="33"/>
        <v>253||['add']||openai/whisper-tiny||M10</v>
      </c>
      <c r="N199">
        <f>IF(COUNTIF($M$2:M199, M199)=1, 1, 0)</f>
        <v>0</v>
      </c>
      <c r="O199" t="str">
        <f t="shared" si="34"/>
        <v>253||['add']||openai/whisper-tiny||T3</v>
      </c>
      <c r="P199">
        <f>IF(COUNTIF($O$2:O199, O199)=1, 1, 0)</f>
        <v>0</v>
      </c>
      <c r="Q199" t="str">
        <f t="shared" si="29"/>
        <v>190||C10</v>
      </c>
      <c r="R199">
        <f>IF(COUNTIF($Q$2:Q199, Q199)=1, 1, 0)</f>
        <v>1</v>
      </c>
      <c r="S199" t="str">
        <f t="shared" si="30"/>
        <v>190||M10</v>
      </c>
      <c r="T199">
        <f>IF(COUNTIF($S$2:S199, S199)=1, 1, 0)</f>
        <v>1</v>
      </c>
      <c r="U199" t="str">
        <f t="shared" si="31"/>
        <v>190||T3</v>
      </c>
      <c r="V199">
        <f>IF(COUNTIF($U$2:U199, U199)=1, 1, 0)</f>
        <v>1</v>
      </c>
      <c r="W199" t="s">
        <v>361</v>
      </c>
      <c r="X199" t="s">
        <v>300</v>
      </c>
      <c r="Y199" t="str">
        <f>_xlfn.XLOOKUP(X199, codes!A:A, codes!F:F, "")</f>
        <v>M10</v>
      </c>
      <c r="Z199" t="str">
        <f>_xlfn.XLOOKUP(Y199, 'sub-themes'!A:A, 'sub-themes'!H:H, "")</f>
        <v>T3</v>
      </c>
    </row>
    <row r="200" spans="1:26" x14ac:dyDescent="0.2">
      <c r="A200">
        <v>191</v>
      </c>
      <c r="B200">
        <v>254</v>
      </c>
      <c r="C200" t="s">
        <v>19</v>
      </c>
      <c r="D200">
        <v>5</v>
      </c>
      <c r="E200">
        <v>1</v>
      </c>
      <c r="F200" t="s">
        <v>8</v>
      </c>
      <c r="G200" t="s">
        <v>203</v>
      </c>
      <c r="H200" t="str">
        <f t="shared" si="32"/>
        <v>stabilityai/sd-turbo</v>
      </c>
      <c r="I200" t="str">
        <f t="shared" si="27"/>
        <v>254||['add']||stabilityai/sd-turbo</v>
      </c>
      <c r="J200">
        <f>IF(COUNTIF($I$2:I200, I200)=1, 1, 0)</f>
        <v>1</v>
      </c>
      <c r="K200" t="str">
        <f t="shared" si="28"/>
        <v>254||['add']||stabilityai/sd-turbo||C51</v>
      </c>
      <c r="L200">
        <f>IF(COUNTIF($K$2:K200, K200)=1, 1, 0)</f>
        <v>1</v>
      </c>
      <c r="M200" t="str">
        <f t="shared" si="33"/>
        <v>254||['add']||stabilityai/sd-turbo||M12</v>
      </c>
      <c r="N200">
        <f>IF(COUNTIF($M$2:M200, M200)=1, 1, 0)</f>
        <v>1</v>
      </c>
      <c r="O200" t="str">
        <f t="shared" si="34"/>
        <v>254||['add']||stabilityai/sd-turbo||T5</v>
      </c>
      <c r="P200">
        <f>IF(COUNTIF($O$2:O200, O200)=1, 1, 0)</f>
        <v>1</v>
      </c>
      <c r="Q200" t="str">
        <f t="shared" si="29"/>
        <v>191||C51</v>
      </c>
      <c r="R200">
        <f>IF(COUNTIF($Q$2:Q200, Q200)=1, 1, 0)</f>
        <v>1</v>
      </c>
      <c r="S200" t="str">
        <f t="shared" si="30"/>
        <v>191||M12</v>
      </c>
      <c r="T200">
        <f>IF(COUNTIF($S$2:S200, S200)=1, 1, 0)</f>
        <v>1</v>
      </c>
      <c r="U200" t="str">
        <f t="shared" si="31"/>
        <v>191||T5</v>
      </c>
      <c r="V200">
        <f>IF(COUNTIF($U$2:U200, U200)=1, 1, 0)</f>
        <v>1</v>
      </c>
      <c r="W200" t="s">
        <v>269</v>
      </c>
      <c r="X200" t="s">
        <v>398</v>
      </c>
      <c r="Y200" t="str">
        <f>_xlfn.XLOOKUP(X200, codes!A:A, codes!F:F, "")</f>
        <v>M12</v>
      </c>
      <c r="Z200" t="str">
        <f>_xlfn.XLOOKUP(Y200, 'sub-themes'!A:A, 'sub-themes'!H:H, "")</f>
        <v>T5</v>
      </c>
    </row>
    <row r="201" spans="1:26" x14ac:dyDescent="0.2">
      <c r="A201">
        <v>192</v>
      </c>
      <c r="B201">
        <v>255</v>
      </c>
      <c r="C201" t="s">
        <v>7</v>
      </c>
      <c r="D201">
        <v>2</v>
      </c>
      <c r="E201">
        <v>1</v>
      </c>
      <c r="F201" t="s">
        <v>8</v>
      </c>
      <c r="G201" t="s">
        <v>204</v>
      </c>
      <c r="H201" t="str">
        <f t="shared" si="32"/>
        <v>facebook/esmfold_v1</v>
      </c>
      <c r="I201" t="str">
        <f t="shared" si="27"/>
        <v>255||['add']||facebook/esmfold_v1</v>
      </c>
      <c r="J201">
        <f>IF(COUNTIF($I$2:I201, I201)=1, 1, 0)</f>
        <v>1</v>
      </c>
      <c r="K201" t="str">
        <f t="shared" si="28"/>
        <v>255||['add']||facebook/esmfold_v1||C46</v>
      </c>
      <c r="L201">
        <f>IF(COUNTIF($K$2:K201, K201)=1, 1, 0)</f>
        <v>1</v>
      </c>
      <c r="M201" t="str">
        <f t="shared" si="33"/>
        <v>255||['add']||facebook/esmfold_v1||M13</v>
      </c>
      <c r="N201">
        <f>IF(COUNTIF($M$2:M201, M201)=1, 1, 0)</f>
        <v>1</v>
      </c>
      <c r="O201" t="str">
        <f t="shared" si="34"/>
        <v>255||['add']||facebook/esmfold_v1||T1</v>
      </c>
      <c r="P201">
        <f>IF(COUNTIF($O$2:O201, O201)=1, 1, 0)</f>
        <v>1</v>
      </c>
      <c r="Q201" t="str">
        <f t="shared" si="29"/>
        <v>192||C46</v>
      </c>
      <c r="R201">
        <f>IF(COUNTIF($Q$2:Q201, Q201)=1, 1, 0)</f>
        <v>1</v>
      </c>
      <c r="S201" t="str">
        <f t="shared" si="30"/>
        <v>192||M13</v>
      </c>
      <c r="T201">
        <f>IF(COUNTIF($S$2:S201, S201)=1, 1, 0)</f>
        <v>1</v>
      </c>
      <c r="U201" t="str">
        <f t="shared" si="31"/>
        <v>192||T1</v>
      </c>
      <c r="V201">
        <f>IF(COUNTIF($U$2:U201, U201)=1, 1, 0)</f>
        <v>1</v>
      </c>
      <c r="W201" t="s">
        <v>270</v>
      </c>
      <c r="X201" t="s">
        <v>363</v>
      </c>
      <c r="Y201" t="str">
        <f>_xlfn.XLOOKUP(X201, codes!A:A, codes!F:F, "")</f>
        <v>M13</v>
      </c>
      <c r="Z201" t="str">
        <f>_xlfn.XLOOKUP(Y201, 'sub-themes'!A:A, 'sub-themes'!H:H, "")</f>
        <v>T1</v>
      </c>
    </row>
    <row r="202" spans="1:26" x14ac:dyDescent="0.2">
      <c r="A202">
        <v>193</v>
      </c>
      <c r="B202">
        <v>257</v>
      </c>
      <c r="C202" t="s">
        <v>11</v>
      </c>
      <c r="D202">
        <v>3</v>
      </c>
      <c r="E202">
        <v>2</v>
      </c>
      <c r="F202" t="s">
        <v>8</v>
      </c>
      <c r="G202" t="s">
        <v>205</v>
      </c>
      <c r="H202" t="str">
        <f t="shared" si="32"/>
        <v>qwen/qwen3-1.7b|qwen/qwen3-1.7b-base</v>
      </c>
      <c r="I202" t="str">
        <f t="shared" si="27"/>
        <v>257||['add']||qwen/qwen3-1.7b|qwen/qwen3-1.7b-base</v>
      </c>
      <c r="J202">
        <f>IF(COUNTIF($I$2:I202, I202)=1, 1, 0)</f>
        <v>1</v>
      </c>
      <c r="K202" t="str">
        <f t="shared" si="28"/>
        <v>257||['add']||qwen/qwen3-1.7b|qwen/qwen3-1.7b-base||C10</v>
      </c>
      <c r="L202">
        <f>IF(COUNTIF($K$2:K202, K202)=1, 1, 0)</f>
        <v>1</v>
      </c>
      <c r="M202" t="str">
        <f t="shared" si="33"/>
        <v>257||['add']||qwen/qwen3-1.7b|qwen/qwen3-1.7b-base||M10</v>
      </c>
      <c r="N202">
        <f>IF(COUNTIF($M$2:M202, M202)=1, 1, 0)</f>
        <v>1</v>
      </c>
      <c r="O202" t="str">
        <f t="shared" si="34"/>
        <v>257||['add']||qwen/qwen3-1.7b|qwen/qwen3-1.7b-base||T3</v>
      </c>
      <c r="P202">
        <f>IF(COUNTIF($O$2:O202, O202)=1, 1, 0)</f>
        <v>1</v>
      </c>
      <c r="Q202" t="str">
        <f t="shared" si="29"/>
        <v>193||C10</v>
      </c>
      <c r="R202">
        <f>IF(COUNTIF($Q$2:Q202, Q202)=1, 1, 0)</f>
        <v>1</v>
      </c>
      <c r="S202" t="str">
        <f t="shared" si="30"/>
        <v>193||M10</v>
      </c>
      <c r="T202">
        <f>IF(COUNTIF($S$2:S202, S202)=1, 1, 0)</f>
        <v>1</v>
      </c>
      <c r="U202" t="str">
        <f t="shared" si="31"/>
        <v>193||T3</v>
      </c>
      <c r="V202">
        <f>IF(COUNTIF($U$2:U202, U202)=1, 1, 0)</f>
        <v>1</v>
      </c>
      <c r="W202" t="s">
        <v>273</v>
      </c>
      <c r="X202" t="s">
        <v>300</v>
      </c>
      <c r="Y202" t="str">
        <f>_xlfn.XLOOKUP(X202, codes!A:A, codes!F:F, "")</f>
        <v>M10</v>
      </c>
      <c r="Z202" t="str">
        <f>_xlfn.XLOOKUP(Y202, 'sub-themes'!A:A, 'sub-themes'!H:H, "")</f>
        <v>T3</v>
      </c>
    </row>
    <row r="203" spans="1:26" x14ac:dyDescent="0.2">
      <c r="A203">
        <v>194</v>
      </c>
      <c r="B203">
        <v>258</v>
      </c>
      <c r="C203" t="s">
        <v>47</v>
      </c>
      <c r="D203">
        <v>1</v>
      </c>
      <c r="E203">
        <v>1</v>
      </c>
      <c r="F203" t="s">
        <v>8</v>
      </c>
      <c r="G203" t="s">
        <v>20</v>
      </c>
      <c r="H203" t="str">
        <f t="shared" si="32"/>
        <v>google-bert/bert-base-cased</v>
      </c>
      <c r="I203" t="str">
        <f t="shared" si="27"/>
        <v>258||['add']||google-bert/bert-base-cased</v>
      </c>
      <c r="J203">
        <f>IF(COUNTIF($I$2:I203, I203)=1, 1, 0)</f>
        <v>1</v>
      </c>
      <c r="K203" t="str">
        <f t="shared" si="28"/>
        <v>258||['add']||google-bert/bert-base-cased||C21</v>
      </c>
      <c r="L203">
        <f>IF(COUNTIF($K$2:K203, K203)=1, 1, 0)</f>
        <v>1</v>
      </c>
      <c r="M203" t="str">
        <f t="shared" si="33"/>
        <v>258||['add']||google-bert/bert-base-cased||M2</v>
      </c>
      <c r="N203">
        <f>IF(COUNTIF($M$2:M203, M203)=1, 1, 0)</f>
        <v>1</v>
      </c>
      <c r="O203" t="str">
        <f t="shared" si="34"/>
        <v>258||['add']||google-bert/bert-base-cased||T2</v>
      </c>
      <c r="P203">
        <f>IF(COUNTIF($O$2:O203, O203)=1, 1, 0)</f>
        <v>1</v>
      </c>
      <c r="Q203" t="str">
        <f t="shared" si="29"/>
        <v>194||C21</v>
      </c>
      <c r="R203">
        <f>IF(COUNTIF($Q$2:Q203, Q203)=1, 1, 0)</f>
        <v>1</v>
      </c>
      <c r="S203" t="str">
        <f t="shared" si="30"/>
        <v>194||M2</v>
      </c>
      <c r="T203">
        <f>IF(COUNTIF($S$2:S203, S203)=1, 1, 0)</f>
        <v>1</v>
      </c>
      <c r="U203" t="str">
        <f t="shared" si="31"/>
        <v>194||T2</v>
      </c>
      <c r="V203">
        <f>IF(COUNTIF($U$2:U203, U203)=1, 1, 0)</f>
        <v>1</v>
      </c>
      <c r="W203" t="s">
        <v>271</v>
      </c>
      <c r="X203" t="s">
        <v>319</v>
      </c>
      <c r="Y203" t="str">
        <f>_xlfn.XLOOKUP(X203, codes!A:A, codes!F:F, "")</f>
        <v>M2</v>
      </c>
      <c r="Z203" t="str">
        <f>_xlfn.XLOOKUP(Y203, 'sub-themes'!A:A, 'sub-themes'!H:H, "")</f>
        <v>T2</v>
      </c>
    </row>
    <row r="204" spans="1:26" x14ac:dyDescent="0.2">
      <c r="A204">
        <v>195</v>
      </c>
      <c r="B204">
        <v>262</v>
      </c>
      <c r="C204" t="s">
        <v>47</v>
      </c>
      <c r="D204">
        <v>1</v>
      </c>
      <c r="E204">
        <v>1</v>
      </c>
      <c r="F204" t="s">
        <v>8</v>
      </c>
      <c r="G204" t="s">
        <v>206</v>
      </c>
      <c r="H204" t="str">
        <f t="shared" si="32"/>
        <v>mcg-nju/videomae-base</v>
      </c>
      <c r="I204" t="str">
        <f t="shared" si="27"/>
        <v>262||['add']||mcg-nju/videomae-base</v>
      </c>
      <c r="J204">
        <f>IF(COUNTIF($I$2:I204, I204)=1, 1, 0)</f>
        <v>1</v>
      </c>
      <c r="K204" t="str">
        <f t="shared" si="28"/>
        <v>262||['add']||mcg-nju/videomae-base||C47</v>
      </c>
      <c r="L204">
        <f>IF(COUNTIF($K$2:K204, K204)=1, 1, 0)</f>
        <v>1</v>
      </c>
      <c r="M204" t="str">
        <f t="shared" si="33"/>
        <v>262||['add']||mcg-nju/videomae-base||M4</v>
      </c>
      <c r="N204">
        <f>IF(COUNTIF($M$2:M204, M204)=1, 1, 0)</f>
        <v>1</v>
      </c>
      <c r="O204" t="str">
        <f t="shared" si="34"/>
        <v>262||['add']||mcg-nju/videomae-base||T1</v>
      </c>
      <c r="P204">
        <f>IF(COUNTIF($O$2:O204, O204)=1, 1, 0)</f>
        <v>1</v>
      </c>
      <c r="Q204" t="str">
        <f t="shared" si="29"/>
        <v>195||C47</v>
      </c>
      <c r="R204">
        <f>IF(COUNTIF($Q$2:Q204, Q204)=1, 1, 0)</f>
        <v>1</v>
      </c>
      <c r="S204" t="str">
        <f t="shared" si="30"/>
        <v>195||M4</v>
      </c>
      <c r="T204">
        <f>IF(COUNTIF($S$2:S204, S204)=1, 1, 0)</f>
        <v>1</v>
      </c>
      <c r="U204" t="str">
        <f t="shared" si="31"/>
        <v>195||T1</v>
      </c>
      <c r="V204">
        <f>IF(COUNTIF($U$2:U204, U204)=1, 1, 0)</f>
        <v>1</v>
      </c>
      <c r="W204" t="s">
        <v>272</v>
      </c>
      <c r="X204" t="s">
        <v>365</v>
      </c>
      <c r="Y204" t="str">
        <f>_xlfn.XLOOKUP(X204, codes!A:A, codes!F:F, "")</f>
        <v>M4</v>
      </c>
      <c r="Z204" t="str">
        <f>_xlfn.XLOOKUP(Y204, 'sub-themes'!A:A, 'sub-themes'!H:H, "")</f>
        <v>T1</v>
      </c>
    </row>
    <row r="205" spans="1:26" x14ac:dyDescent="0.2">
      <c r="A205">
        <v>196</v>
      </c>
      <c r="B205">
        <v>263</v>
      </c>
      <c r="C205" t="s">
        <v>47</v>
      </c>
      <c r="D205">
        <v>2</v>
      </c>
      <c r="E205">
        <v>1</v>
      </c>
      <c r="F205" t="s">
        <v>8</v>
      </c>
      <c r="G205" t="s">
        <v>207</v>
      </c>
      <c r="H205" t="str">
        <f t="shared" si="32"/>
        <v>tuner007/pegasus_paraphrase</v>
      </c>
      <c r="I205" t="str">
        <f t="shared" si="27"/>
        <v>263||['add']||tuner007/pegasus_paraphrase</v>
      </c>
      <c r="J205">
        <f>IF(COUNTIF($I$2:I205, I205)=1, 1, 0)</f>
        <v>1</v>
      </c>
      <c r="K205" t="str">
        <f t="shared" si="28"/>
        <v>263||['add']||tuner007/pegasus_paraphrase||C48</v>
      </c>
      <c r="L205">
        <f>IF(COUNTIF($K$2:K205, K205)=1, 1, 0)</f>
        <v>1</v>
      </c>
      <c r="M205" t="str">
        <f t="shared" si="33"/>
        <v>263||['add']||tuner007/pegasus_paraphrase||M1</v>
      </c>
      <c r="N205">
        <f>IF(COUNTIF($M$2:M205, M205)=1, 1, 0)</f>
        <v>1</v>
      </c>
      <c r="O205" t="str">
        <f t="shared" si="34"/>
        <v>263||['add']||tuner007/pegasus_paraphrase||T1</v>
      </c>
      <c r="P205">
        <f>IF(COUNTIF($O$2:O205, O205)=1, 1, 0)</f>
        <v>1</v>
      </c>
      <c r="Q205" t="str">
        <f t="shared" si="29"/>
        <v>196||C48</v>
      </c>
      <c r="R205">
        <f>IF(COUNTIF($Q$2:Q205, Q205)=1, 1, 0)</f>
        <v>1</v>
      </c>
      <c r="S205" t="str">
        <f t="shared" si="30"/>
        <v>196||M1</v>
      </c>
      <c r="T205">
        <f>IF(COUNTIF($S$2:S205, S205)=1, 1, 0)</f>
        <v>1</v>
      </c>
      <c r="U205" t="str">
        <f t="shared" si="31"/>
        <v>196||T1</v>
      </c>
      <c r="V205">
        <f>IF(COUNTIF($U$2:U205, U205)=1, 1, 0)</f>
        <v>1</v>
      </c>
      <c r="W205" t="s">
        <v>274</v>
      </c>
      <c r="X205" t="s">
        <v>367</v>
      </c>
      <c r="Y205" t="str">
        <f>_xlfn.XLOOKUP(X205, codes!A:A, codes!F:F, "")</f>
        <v>M1</v>
      </c>
      <c r="Z205" t="str">
        <f>_xlfn.XLOOKUP(Y205, 'sub-themes'!A:A, 'sub-themes'!H:H, "")</f>
        <v>T1</v>
      </c>
    </row>
    <row r="206" spans="1:26" x14ac:dyDescent="0.2">
      <c r="A206">
        <v>197</v>
      </c>
      <c r="B206">
        <v>263</v>
      </c>
      <c r="C206" t="s">
        <v>11</v>
      </c>
      <c r="D206">
        <v>2</v>
      </c>
      <c r="E206">
        <v>1</v>
      </c>
      <c r="F206" t="s">
        <v>8</v>
      </c>
      <c r="G206" t="s">
        <v>207</v>
      </c>
      <c r="H206" t="str">
        <f t="shared" si="32"/>
        <v>tuner007/pegasus_paraphrase</v>
      </c>
      <c r="I206" t="str">
        <f t="shared" si="27"/>
        <v>263||['add']||tuner007/pegasus_paraphrase</v>
      </c>
      <c r="J206">
        <f>IF(COUNTIF($I$2:I206, I206)=1, 1, 0)</f>
        <v>0</v>
      </c>
      <c r="K206" t="str">
        <f t="shared" si="28"/>
        <v>263||['add']||tuner007/pegasus_paraphrase||C48</v>
      </c>
      <c r="L206">
        <f>IF(COUNTIF($K$2:K206, K206)=1, 1, 0)</f>
        <v>0</v>
      </c>
      <c r="M206" t="str">
        <f t="shared" si="33"/>
        <v>263||['add']||tuner007/pegasus_paraphrase||M1</v>
      </c>
      <c r="N206">
        <f>IF(COUNTIF($M$2:M206, M206)=1, 1, 0)</f>
        <v>0</v>
      </c>
      <c r="O206" t="str">
        <f t="shared" si="34"/>
        <v>263||['add']||tuner007/pegasus_paraphrase||T1</v>
      </c>
      <c r="P206">
        <f>IF(COUNTIF($O$2:O206, O206)=1, 1, 0)</f>
        <v>0</v>
      </c>
      <c r="Q206" t="str">
        <f t="shared" si="29"/>
        <v>197||C48</v>
      </c>
      <c r="R206">
        <f>IF(COUNTIF($Q$2:Q206, Q206)=1, 1, 0)</f>
        <v>1</v>
      </c>
      <c r="S206" t="str">
        <f t="shared" si="30"/>
        <v>197||M1</v>
      </c>
      <c r="T206">
        <f>IF(COUNTIF($S$2:S206, S206)=1, 1, 0)</f>
        <v>1</v>
      </c>
      <c r="U206" t="str">
        <f t="shared" si="31"/>
        <v>197||T1</v>
      </c>
      <c r="V206">
        <f>IF(COUNTIF($U$2:U206, U206)=1, 1, 0)</f>
        <v>1</v>
      </c>
      <c r="W206" t="s">
        <v>274</v>
      </c>
      <c r="X206" t="s">
        <v>367</v>
      </c>
      <c r="Y206" t="str">
        <f>_xlfn.XLOOKUP(X206, codes!A:A, codes!F:F, "")</f>
        <v>M1</v>
      </c>
      <c r="Z206" t="str">
        <f>_xlfn.XLOOKUP(Y206, 'sub-themes'!A:A, 'sub-themes'!H:H, "")</f>
        <v>T1</v>
      </c>
    </row>
    <row r="207" spans="1:26" x14ac:dyDescent="0.2">
      <c r="A207">
        <v>198</v>
      </c>
      <c r="B207">
        <v>265</v>
      </c>
      <c r="C207" t="s">
        <v>7</v>
      </c>
      <c r="D207">
        <v>1</v>
      </c>
      <c r="E207">
        <v>1</v>
      </c>
      <c r="F207" t="s">
        <v>29</v>
      </c>
      <c r="G207" t="s">
        <v>208</v>
      </c>
      <c r="H207" t="str">
        <f t="shared" si="32"/>
        <v>qwen/qwen2.5-72b-instruct</v>
      </c>
      <c r="I207" t="str">
        <f t="shared" si="27"/>
        <v>265||['migrate']||qwen/qwen2.5-72b-instruct</v>
      </c>
      <c r="J207">
        <f>IF(COUNTIF($I$2:I207, I207)=1, 1, 0)</f>
        <v>1</v>
      </c>
      <c r="K207" t="str">
        <f t="shared" si="28"/>
        <v>265||['migrate']||qwen/qwen2.5-72b-instruct||C35</v>
      </c>
      <c r="L207">
        <f>IF(COUNTIF($K$2:K207, K207)=1, 1, 0)</f>
        <v>1</v>
      </c>
      <c r="M207" t="str">
        <f t="shared" si="33"/>
        <v>265||['migrate']||qwen/qwen2.5-72b-instruct||M5</v>
      </c>
      <c r="N207">
        <f>IF(COUNTIF($M$2:M207, M207)=1, 1, 0)</f>
        <v>1</v>
      </c>
      <c r="O207" t="str">
        <f t="shared" si="34"/>
        <v>265||['migrate']||qwen/qwen2.5-72b-instruct||T4</v>
      </c>
      <c r="P207">
        <f>IF(COUNTIF($O$2:O207, O207)=1, 1, 0)</f>
        <v>1</v>
      </c>
      <c r="Q207" t="str">
        <f t="shared" si="29"/>
        <v>198||C35</v>
      </c>
      <c r="R207">
        <f>IF(COUNTIF($Q$2:Q207, Q207)=1, 1, 0)</f>
        <v>1</v>
      </c>
      <c r="S207" t="str">
        <f t="shared" si="30"/>
        <v>198||M5</v>
      </c>
      <c r="T207">
        <f>IF(COUNTIF($S$2:S207, S207)=1, 1, 0)</f>
        <v>1</v>
      </c>
      <c r="U207" t="str">
        <f t="shared" si="31"/>
        <v>198||T4</v>
      </c>
      <c r="V207">
        <f>IF(COUNTIF($U$2:U207, U207)=1, 1, 0)</f>
        <v>1</v>
      </c>
      <c r="W207" t="s">
        <v>366</v>
      </c>
      <c r="X207" t="s">
        <v>342</v>
      </c>
      <c r="Y207" t="str">
        <f>_xlfn.XLOOKUP(X207, codes!A:A, codes!F:F, "")</f>
        <v>M5</v>
      </c>
      <c r="Z207" t="str">
        <f>_xlfn.XLOOKUP(Y207, 'sub-themes'!A:A, 'sub-themes'!H:H, "")</f>
        <v>T4</v>
      </c>
    </row>
    <row r="208" spans="1:26" x14ac:dyDescent="0.2">
      <c r="A208">
        <v>199</v>
      </c>
      <c r="B208">
        <v>270</v>
      </c>
      <c r="C208" t="s">
        <v>15</v>
      </c>
      <c r="D208">
        <v>2</v>
      </c>
      <c r="E208">
        <v>1</v>
      </c>
      <c r="F208" t="s">
        <v>8</v>
      </c>
      <c r="G208" t="s">
        <v>209</v>
      </c>
      <c r="H208" t="str">
        <f t="shared" si="32"/>
        <v>facebook/convnext-xlarge-224-22k</v>
      </c>
      <c r="I208" t="str">
        <f t="shared" si="27"/>
        <v>270||['add']||facebook/convnext-xlarge-224-22k</v>
      </c>
      <c r="J208">
        <f>IF(COUNTIF($I$2:I208, I208)=1, 1, 0)</f>
        <v>1</v>
      </c>
      <c r="K208" t="str">
        <f t="shared" si="28"/>
        <v>270||['add']||facebook/convnext-xlarge-224-22k||C58</v>
      </c>
      <c r="L208">
        <f>IF(COUNTIF($K$2:K208, K208)=1, 1, 0)</f>
        <v>1</v>
      </c>
      <c r="M208" t="str">
        <f t="shared" si="33"/>
        <v>270||['add']||facebook/convnext-xlarge-224-22k||M18</v>
      </c>
      <c r="N208">
        <f>IF(COUNTIF($M$2:M208, M208)=1, 1, 0)</f>
        <v>1</v>
      </c>
      <c r="O208" t="str">
        <f t="shared" si="34"/>
        <v>270||['add']||facebook/convnext-xlarge-224-22k||T2</v>
      </c>
      <c r="P208">
        <f>IF(COUNTIF($O$2:O208, O208)=1, 1, 0)</f>
        <v>1</v>
      </c>
      <c r="Q208" t="str">
        <f t="shared" si="29"/>
        <v>199||C58</v>
      </c>
      <c r="R208">
        <f>IF(COUNTIF($Q$2:Q208, Q208)=1, 1, 0)</f>
        <v>1</v>
      </c>
      <c r="S208" t="str">
        <f t="shared" si="30"/>
        <v>199||M18</v>
      </c>
      <c r="T208">
        <f>IF(COUNTIF($S$2:S208, S208)=1, 1, 0)</f>
        <v>1</v>
      </c>
      <c r="U208" t="str">
        <f t="shared" si="31"/>
        <v>199||T2</v>
      </c>
      <c r="V208">
        <f>IF(COUNTIF($U$2:U208, U208)=1, 1, 0)</f>
        <v>1</v>
      </c>
      <c r="W208" t="s">
        <v>210</v>
      </c>
      <c r="X208" t="s">
        <v>415</v>
      </c>
      <c r="Y208" t="str">
        <f>_xlfn.XLOOKUP(X208, codes!A:A, codes!F:F, "")</f>
        <v>M18</v>
      </c>
      <c r="Z208" t="str">
        <f>_xlfn.XLOOKUP(Y208, 'sub-themes'!A:A, 'sub-themes'!H:H, "")</f>
        <v>T2</v>
      </c>
    </row>
    <row r="209" spans="1:26" x14ac:dyDescent="0.2">
      <c r="A209">
        <v>200</v>
      </c>
      <c r="B209">
        <v>270</v>
      </c>
      <c r="C209" t="s">
        <v>7</v>
      </c>
      <c r="D209">
        <v>2</v>
      </c>
      <c r="E209">
        <v>1</v>
      </c>
      <c r="F209" t="s">
        <v>8</v>
      </c>
      <c r="G209" t="s">
        <v>209</v>
      </c>
      <c r="H209" t="str">
        <f t="shared" si="32"/>
        <v>facebook/convnext-xlarge-224-22k</v>
      </c>
      <c r="I209" t="str">
        <f t="shared" si="27"/>
        <v>270||['add']||facebook/convnext-xlarge-224-22k</v>
      </c>
      <c r="J209">
        <f>IF(COUNTIF($I$2:I209, I209)=1, 1, 0)</f>
        <v>0</v>
      </c>
      <c r="K209" t="str">
        <f t="shared" si="28"/>
        <v>270||['add']||facebook/convnext-xlarge-224-22k||C58</v>
      </c>
      <c r="L209">
        <f>IF(COUNTIF($K$2:K209, K209)=1, 1, 0)</f>
        <v>0</v>
      </c>
      <c r="M209" t="str">
        <f t="shared" si="33"/>
        <v>270||['add']||facebook/convnext-xlarge-224-22k||M18</v>
      </c>
      <c r="N209">
        <f>IF(COUNTIF($M$2:M209, M209)=1, 1, 0)</f>
        <v>0</v>
      </c>
      <c r="O209" t="str">
        <f t="shared" si="34"/>
        <v>270||['add']||facebook/convnext-xlarge-224-22k||T2</v>
      </c>
      <c r="P209">
        <f>IF(COUNTIF($O$2:O209, O209)=1, 1, 0)</f>
        <v>0</v>
      </c>
      <c r="Q209" t="str">
        <f t="shared" si="29"/>
        <v>200||C58</v>
      </c>
      <c r="R209">
        <f>IF(COUNTIF($Q$2:Q209, Q209)=1, 1, 0)</f>
        <v>1</v>
      </c>
      <c r="S209" t="str">
        <f t="shared" si="30"/>
        <v>200||M18</v>
      </c>
      <c r="T209">
        <f>IF(COUNTIF($S$2:S209, S209)=1, 1, 0)</f>
        <v>1</v>
      </c>
      <c r="U209" t="str">
        <f t="shared" si="31"/>
        <v>200||T2</v>
      </c>
      <c r="V209">
        <f>IF(COUNTIF($U$2:U209, U209)=1, 1, 0)</f>
        <v>1</v>
      </c>
      <c r="W209" t="s">
        <v>210</v>
      </c>
      <c r="X209" t="s">
        <v>415</v>
      </c>
      <c r="Y209" t="str">
        <f>_xlfn.XLOOKUP(X209, codes!A:A, codes!F:F, "")</f>
        <v>M18</v>
      </c>
      <c r="Z209" t="str">
        <f>_xlfn.XLOOKUP(Y209, 'sub-themes'!A:A, 'sub-themes'!H:H, "")</f>
        <v>T2</v>
      </c>
    </row>
    <row r="210" spans="1:26" x14ac:dyDescent="0.2">
      <c r="A210">
        <v>201</v>
      </c>
      <c r="B210">
        <v>270</v>
      </c>
      <c r="C210" t="s">
        <v>19</v>
      </c>
      <c r="D210">
        <v>2</v>
      </c>
      <c r="E210">
        <v>1</v>
      </c>
      <c r="F210" t="s">
        <v>8</v>
      </c>
      <c r="G210" t="s">
        <v>209</v>
      </c>
      <c r="H210" t="str">
        <f t="shared" si="32"/>
        <v>facebook/convnext-xlarge-224-22k</v>
      </c>
      <c r="I210" t="str">
        <f t="shared" si="27"/>
        <v>270||['add']||facebook/convnext-xlarge-224-22k</v>
      </c>
      <c r="J210">
        <f>IF(COUNTIF($I$2:I210, I210)=1, 1, 0)</f>
        <v>0</v>
      </c>
      <c r="K210" t="str">
        <f t="shared" si="28"/>
        <v>270||['add']||facebook/convnext-xlarge-224-22k||C58</v>
      </c>
      <c r="L210">
        <f>IF(COUNTIF($K$2:K210, K210)=1, 1, 0)</f>
        <v>0</v>
      </c>
      <c r="M210" t="str">
        <f t="shared" si="33"/>
        <v>270||['add']||facebook/convnext-xlarge-224-22k||M18</v>
      </c>
      <c r="N210">
        <f>IF(COUNTIF($M$2:M210, M210)=1, 1, 0)</f>
        <v>0</v>
      </c>
      <c r="O210" t="str">
        <f t="shared" si="34"/>
        <v>270||['add']||facebook/convnext-xlarge-224-22k||T2</v>
      </c>
      <c r="P210">
        <f>IF(COUNTIF($O$2:O210, O210)=1, 1, 0)</f>
        <v>0</v>
      </c>
      <c r="Q210" t="str">
        <f t="shared" si="29"/>
        <v>201||C58</v>
      </c>
      <c r="R210">
        <f>IF(COUNTIF($Q$2:Q210, Q210)=1, 1, 0)</f>
        <v>1</v>
      </c>
      <c r="S210" t="str">
        <f t="shared" si="30"/>
        <v>201||M18</v>
      </c>
      <c r="T210">
        <f>IF(COUNTIF($S$2:S210, S210)=1, 1, 0)</f>
        <v>1</v>
      </c>
      <c r="U210" t="str">
        <f t="shared" si="31"/>
        <v>201||T2</v>
      </c>
      <c r="V210">
        <f>IF(COUNTIF($U$2:U210, U210)=1, 1, 0)</f>
        <v>1</v>
      </c>
      <c r="W210" t="s">
        <v>210</v>
      </c>
      <c r="X210" t="s">
        <v>415</v>
      </c>
      <c r="Y210" t="str">
        <f>_xlfn.XLOOKUP(X210, codes!A:A, codes!F:F, "")</f>
        <v>M18</v>
      </c>
      <c r="Z210" t="str">
        <f>_xlfn.XLOOKUP(Y210, 'sub-themes'!A:A, 'sub-themes'!H:H, "")</f>
        <v>T2</v>
      </c>
    </row>
    <row r="211" spans="1:26" x14ac:dyDescent="0.2">
      <c r="A211">
        <v>202</v>
      </c>
      <c r="B211">
        <v>270</v>
      </c>
      <c r="C211" t="s">
        <v>28</v>
      </c>
      <c r="D211">
        <v>2</v>
      </c>
      <c r="E211">
        <v>1</v>
      </c>
      <c r="F211" t="s">
        <v>8</v>
      </c>
      <c r="G211" t="s">
        <v>209</v>
      </c>
      <c r="H211" t="str">
        <f t="shared" si="32"/>
        <v>facebook/convnext-xlarge-224-22k</v>
      </c>
      <c r="I211" t="str">
        <f t="shared" si="27"/>
        <v>270||['add']||facebook/convnext-xlarge-224-22k</v>
      </c>
      <c r="J211">
        <f>IF(COUNTIF($I$2:I211, I211)=1, 1, 0)</f>
        <v>0</v>
      </c>
      <c r="K211" t="str">
        <f t="shared" si="28"/>
        <v>270||['add']||facebook/convnext-xlarge-224-22k||C58</v>
      </c>
      <c r="L211">
        <f>IF(COUNTIF($K$2:K211, K211)=1, 1, 0)</f>
        <v>0</v>
      </c>
      <c r="M211" t="str">
        <f t="shared" si="33"/>
        <v>270||['add']||facebook/convnext-xlarge-224-22k||M18</v>
      </c>
      <c r="N211">
        <f>IF(COUNTIF($M$2:M211, M211)=1, 1, 0)</f>
        <v>0</v>
      </c>
      <c r="O211" t="str">
        <f t="shared" si="34"/>
        <v>270||['add']||facebook/convnext-xlarge-224-22k||T2</v>
      </c>
      <c r="P211">
        <f>IF(COUNTIF($O$2:O211, O211)=1, 1, 0)</f>
        <v>0</v>
      </c>
      <c r="Q211" t="str">
        <f t="shared" si="29"/>
        <v>202||C58</v>
      </c>
      <c r="R211">
        <f>IF(COUNTIF($Q$2:Q211, Q211)=1, 1, 0)</f>
        <v>1</v>
      </c>
      <c r="S211" t="str">
        <f t="shared" si="30"/>
        <v>202||M18</v>
      </c>
      <c r="T211">
        <f>IF(COUNTIF($S$2:S211, S211)=1, 1, 0)</f>
        <v>1</v>
      </c>
      <c r="U211" t="str">
        <f t="shared" si="31"/>
        <v>202||T2</v>
      </c>
      <c r="V211">
        <f>IF(COUNTIF($U$2:U211, U211)=1, 1, 0)</f>
        <v>1</v>
      </c>
      <c r="W211" t="s">
        <v>275</v>
      </c>
      <c r="X211" t="s">
        <v>415</v>
      </c>
      <c r="Y211" t="str">
        <f>_xlfn.XLOOKUP(X211, codes!A:A, codes!F:F, "")</f>
        <v>M18</v>
      </c>
      <c r="Z211" t="str">
        <f>_xlfn.XLOOKUP(Y211, 'sub-themes'!A:A, 'sub-themes'!H:H, "")</f>
        <v>T2</v>
      </c>
    </row>
    <row r="212" spans="1:26" x14ac:dyDescent="0.2">
      <c r="A212">
        <v>203</v>
      </c>
      <c r="B212">
        <v>271</v>
      </c>
      <c r="C212" t="s">
        <v>7</v>
      </c>
      <c r="D212">
        <v>1</v>
      </c>
      <c r="E212">
        <v>1</v>
      </c>
      <c r="F212" t="s">
        <v>27</v>
      </c>
      <c r="G212" t="s">
        <v>209</v>
      </c>
      <c r="H212" t="str">
        <f t="shared" si="32"/>
        <v>facebook/convnext-xlarge-224-22k</v>
      </c>
      <c r="I212" t="str">
        <f t="shared" si="27"/>
        <v>271||['remove']||facebook/convnext-xlarge-224-22k</v>
      </c>
      <c r="J212">
        <f>IF(COUNTIF($I$2:I212, I212)=1, 1, 0)</f>
        <v>1</v>
      </c>
      <c r="K212" t="str">
        <f t="shared" si="28"/>
        <v>271||['remove']||facebook/convnext-xlarge-224-22k||C70</v>
      </c>
      <c r="L212">
        <f>IF(COUNTIF($K$2:K212, K212)=1, 1, 0)</f>
        <v>1</v>
      </c>
      <c r="M212" t="str">
        <f t="shared" si="33"/>
        <v>271||['remove']||facebook/convnext-xlarge-224-22k||M5</v>
      </c>
      <c r="N212">
        <f>IF(COUNTIF($M$2:M212, M212)=1, 1, 0)</f>
        <v>1</v>
      </c>
      <c r="O212" t="str">
        <f t="shared" si="34"/>
        <v>271||['remove']||facebook/convnext-xlarge-224-22k||T4</v>
      </c>
      <c r="P212">
        <f>IF(COUNTIF($O$2:O212, O212)=1, 1, 0)</f>
        <v>1</v>
      </c>
      <c r="Q212" t="str">
        <f t="shared" si="29"/>
        <v>203||C70</v>
      </c>
      <c r="R212">
        <f>IF(COUNTIF($Q$2:Q212, Q212)=1, 1, 0)</f>
        <v>1</v>
      </c>
      <c r="S212" t="str">
        <f t="shared" si="30"/>
        <v>203||M5</v>
      </c>
      <c r="T212">
        <f>IF(COUNTIF($S$2:S212, S212)=1, 1, 0)</f>
        <v>1</v>
      </c>
      <c r="U212" t="str">
        <f t="shared" si="31"/>
        <v>203||T4</v>
      </c>
      <c r="V212">
        <f>IF(COUNTIF($U$2:U212, U212)=1, 1, 0)</f>
        <v>1</v>
      </c>
      <c r="W212" t="s">
        <v>211</v>
      </c>
      <c r="X212" t="s">
        <v>439</v>
      </c>
      <c r="Y212" t="str">
        <f>_xlfn.XLOOKUP(X212, codes!A:A, codes!F:F, "")</f>
        <v>M5</v>
      </c>
      <c r="Z212" t="str">
        <f>_xlfn.XLOOKUP(Y212, 'sub-themes'!A:A, 'sub-themes'!H:H, "")</f>
        <v>T4</v>
      </c>
    </row>
    <row r="213" spans="1:26" x14ac:dyDescent="0.2">
      <c r="A213">
        <v>204</v>
      </c>
      <c r="B213">
        <v>271</v>
      </c>
      <c r="C213" t="s">
        <v>28</v>
      </c>
      <c r="D213">
        <v>1</v>
      </c>
      <c r="E213">
        <v>1</v>
      </c>
      <c r="F213" t="s">
        <v>27</v>
      </c>
      <c r="G213" t="s">
        <v>209</v>
      </c>
      <c r="H213" t="str">
        <f t="shared" si="32"/>
        <v>facebook/convnext-xlarge-224-22k</v>
      </c>
      <c r="I213" t="str">
        <f t="shared" si="27"/>
        <v>271||['remove']||facebook/convnext-xlarge-224-22k</v>
      </c>
      <c r="J213">
        <f>IF(COUNTIF($I$2:I213, I213)=1, 1, 0)</f>
        <v>0</v>
      </c>
      <c r="K213" t="str">
        <f t="shared" si="28"/>
        <v>271||['remove']||facebook/convnext-xlarge-224-22k||C70</v>
      </c>
      <c r="L213">
        <f>IF(COUNTIF($K$2:K213, K213)=1, 1, 0)</f>
        <v>0</v>
      </c>
      <c r="M213" t="str">
        <f t="shared" si="33"/>
        <v>271||['remove']||facebook/convnext-xlarge-224-22k||M5</v>
      </c>
      <c r="N213">
        <f>IF(COUNTIF($M$2:M213, M213)=1, 1, 0)</f>
        <v>0</v>
      </c>
      <c r="O213" t="str">
        <f t="shared" si="34"/>
        <v>271||['remove']||facebook/convnext-xlarge-224-22k||T4</v>
      </c>
      <c r="P213">
        <f>IF(COUNTIF($O$2:O213, O213)=1, 1, 0)</f>
        <v>0</v>
      </c>
      <c r="Q213" t="str">
        <f t="shared" si="29"/>
        <v>204||C70</v>
      </c>
      <c r="R213">
        <f>IF(COUNTIF($Q$2:Q213, Q213)=1, 1, 0)</f>
        <v>1</v>
      </c>
      <c r="S213" t="str">
        <f t="shared" si="30"/>
        <v>204||M5</v>
      </c>
      <c r="T213">
        <f>IF(COUNTIF($S$2:S213, S213)=1, 1, 0)</f>
        <v>1</v>
      </c>
      <c r="U213" t="str">
        <f t="shared" si="31"/>
        <v>204||T4</v>
      </c>
      <c r="V213">
        <f>IF(COUNTIF($U$2:U213, U213)=1, 1, 0)</f>
        <v>1</v>
      </c>
      <c r="W213" t="s">
        <v>212</v>
      </c>
      <c r="X213" t="s">
        <v>439</v>
      </c>
      <c r="Y213" t="str">
        <f>_xlfn.XLOOKUP(X213, codes!A:A, codes!F:F, "")</f>
        <v>M5</v>
      </c>
      <c r="Z213" t="str">
        <f>_xlfn.XLOOKUP(Y213, 'sub-themes'!A:A, 'sub-themes'!H:H, "")</f>
        <v>T4</v>
      </c>
    </row>
    <row r="214" spans="1:26" x14ac:dyDescent="0.2">
      <c r="A214">
        <v>205</v>
      </c>
      <c r="B214">
        <v>273</v>
      </c>
      <c r="C214" t="s">
        <v>7</v>
      </c>
      <c r="D214">
        <v>2</v>
      </c>
      <c r="E214">
        <v>2</v>
      </c>
      <c r="F214" t="s">
        <v>29</v>
      </c>
      <c r="G214" t="s">
        <v>213</v>
      </c>
      <c r="H214" t="str">
        <f t="shared" si="32"/>
        <v>spacy/fr_core_news_sm|spacy/en_core_web_sm</v>
      </c>
      <c r="I214" t="str">
        <f t="shared" si="27"/>
        <v>273||['migrate']||spacy/fr_core_news_sm|spacy/en_core_web_sm</v>
      </c>
      <c r="J214">
        <f>IF(COUNTIF($I$2:I214, I214)=1, 1, 0)</f>
        <v>1</v>
      </c>
      <c r="K214" t="str">
        <f t="shared" si="28"/>
        <v>273||['migrate']||spacy/fr_core_news_sm|spacy/en_core_web_sm||C7</v>
      </c>
      <c r="L214">
        <f>IF(COUNTIF($K$2:K214, K214)=1, 1, 0)</f>
        <v>1</v>
      </c>
      <c r="M214" t="str">
        <f t="shared" si="33"/>
        <v>273||['migrate']||spacy/fr_core_news_sm|spacy/en_core_web_sm||M7</v>
      </c>
      <c r="N214">
        <f>IF(COUNTIF($M$2:M214, M214)=1, 1, 0)</f>
        <v>1</v>
      </c>
      <c r="O214" t="str">
        <f t="shared" si="34"/>
        <v>273||['migrate']||spacy/fr_core_news_sm|spacy/en_core_web_sm||T5</v>
      </c>
      <c r="P214">
        <f>IF(COUNTIF($O$2:O214, O214)=1, 1, 0)</f>
        <v>1</v>
      </c>
      <c r="Q214" t="str">
        <f t="shared" si="29"/>
        <v>205||C7</v>
      </c>
      <c r="R214">
        <f>IF(COUNTIF($Q$2:Q214, Q214)=1, 1, 0)</f>
        <v>1</v>
      </c>
      <c r="S214" t="str">
        <f t="shared" si="30"/>
        <v>205||M7</v>
      </c>
      <c r="T214">
        <f>IF(COUNTIF($S$2:S214, S214)=1, 1, 0)</f>
        <v>1</v>
      </c>
      <c r="U214" t="str">
        <f t="shared" si="31"/>
        <v>205||T5</v>
      </c>
      <c r="V214">
        <f>IF(COUNTIF($U$2:U214, U214)=1, 1, 0)</f>
        <v>1</v>
      </c>
      <c r="W214" t="s">
        <v>214</v>
      </c>
      <c r="X214" t="s">
        <v>294</v>
      </c>
      <c r="Y214" t="str">
        <f>_xlfn.XLOOKUP(X214, codes!A:A, codes!F:F, "")</f>
        <v>M7</v>
      </c>
      <c r="Z214" t="str">
        <f>_xlfn.XLOOKUP(Y214, 'sub-themes'!A:A, 'sub-themes'!H:H, "")</f>
        <v>T5</v>
      </c>
    </row>
    <row r="215" spans="1:26" x14ac:dyDescent="0.2">
      <c r="A215">
        <v>206</v>
      </c>
      <c r="B215">
        <v>165</v>
      </c>
      <c r="C215" t="s">
        <v>47</v>
      </c>
      <c r="D215">
        <v>2</v>
      </c>
      <c r="E215">
        <v>1</v>
      </c>
      <c r="F215" t="s">
        <v>8</v>
      </c>
      <c r="G215" t="s">
        <v>492</v>
      </c>
      <c r="H215" t="str">
        <f t="shared" si="32"/>
        <v>mistralai/mistral-7b-instruct-v0.1</v>
      </c>
      <c r="I215" t="str">
        <f t="shared" si="27"/>
        <v>165||['add']||mistralai/mistral-7b-instruct-v0.1</v>
      </c>
      <c r="J215">
        <f>IF(COUNTIF($I$2:I215, I215)=1, 1, 0)</f>
        <v>1</v>
      </c>
      <c r="K215" t="str">
        <f t="shared" si="28"/>
        <v>165||['add']||mistralai/mistral-7b-instruct-v0.1||C48</v>
      </c>
      <c r="L215">
        <f>IF(COUNTIF($K$2:K215, K215)=1, 1, 0)</f>
        <v>1</v>
      </c>
      <c r="M215" t="str">
        <f t="shared" si="33"/>
        <v>165||['add']||mistralai/mistral-7b-instruct-v0.1||M1</v>
      </c>
      <c r="N215">
        <f>IF(COUNTIF($M$2:M215, M215)=1, 1, 0)</f>
        <v>1</v>
      </c>
      <c r="O215" t="str">
        <f t="shared" si="34"/>
        <v>165||['add']||mistralai/mistral-7b-instruct-v0.1||T1</v>
      </c>
      <c r="P215">
        <f>IF(COUNTIF($O$2:O215, O215)=1, 1, 0)</f>
        <v>1</v>
      </c>
      <c r="Q215" t="str">
        <f t="shared" si="29"/>
        <v>206||C48</v>
      </c>
      <c r="R215">
        <f>IF(COUNTIF($Q$2:Q215, Q215)=1, 1, 0)</f>
        <v>1</v>
      </c>
      <c r="S215" t="str">
        <f t="shared" si="30"/>
        <v>206||M1</v>
      </c>
      <c r="T215">
        <f>IF(COUNTIF($S$2:S215, S215)=1, 1, 0)</f>
        <v>1</v>
      </c>
      <c r="U215" t="str">
        <f t="shared" si="31"/>
        <v>206||T1</v>
      </c>
      <c r="V215">
        <f>IF(COUNTIF($U$2:U215, U215)=1, 1, 0)</f>
        <v>1</v>
      </c>
      <c r="W215" t="s">
        <v>494</v>
      </c>
      <c r="X215" t="s">
        <v>367</v>
      </c>
      <c r="Y215" t="str">
        <f>_xlfn.XLOOKUP(X215, codes!A:A, codes!F:F, "")</f>
        <v>M1</v>
      </c>
      <c r="Z215" t="str">
        <f>_xlfn.XLOOKUP(Y215, 'sub-themes'!A:A, 'sub-themes'!H:H, "")</f>
        <v>T1</v>
      </c>
    </row>
    <row r="216" spans="1:26" x14ac:dyDescent="0.2">
      <c r="A216">
        <v>206</v>
      </c>
      <c r="B216">
        <v>165</v>
      </c>
      <c r="C216" t="s">
        <v>47</v>
      </c>
      <c r="D216">
        <v>1</v>
      </c>
      <c r="E216">
        <v>1</v>
      </c>
      <c r="F216" t="s">
        <v>8</v>
      </c>
      <c r="G216" t="s">
        <v>493</v>
      </c>
      <c r="H216" t="str">
        <f t="shared" si="32"/>
        <v>mistralai/mistral-7b-instruct</v>
      </c>
      <c r="I216" t="str">
        <f t="shared" si="27"/>
        <v>165||['add']||mistralai/mistral-7b-instruct</v>
      </c>
      <c r="J216">
        <f>IF(COUNTIF($I$2:I216, I216)=1, 1, 0)</f>
        <v>1</v>
      </c>
      <c r="K216" t="str">
        <f t="shared" si="28"/>
        <v>165||['add']||mistralai/mistral-7b-instruct||C73</v>
      </c>
      <c r="L216">
        <f>IF(COUNTIF($K$2:K216, K216)=1, 1, 0)</f>
        <v>1</v>
      </c>
      <c r="M216" t="str">
        <f t="shared" si="33"/>
        <v>165||['add']||mistralai/mistral-7b-instruct||M2</v>
      </c>
      <c r="N216">
        <f>IF(COUNTIF($M$2:M216, M216)=1, 1, 0)</f>
        <v>1</v>
      </c>
      <c r="O216" t="str">
        <f t="shared" si="34"/>
        <v>165||['add']||mistralai/mistral-7b-instruct||T2</v>
      </c>
      <c r="P216">
        <f>IF(COUNTIF($O$2:O216, O216)=1, 1, 0)</f>
        <v>1</v>
      </c>
      <c r="Q216" t="str">
        <f t="shared" si="29"/>
        <v>206||C73</v>
      </c>
      <c r="R216">
        <f>IF(COUNTIF($Q$2:Q216, Q216)=1, 1, 0)</f>
        <v>1</v>
      </c>
      <c r="S216" t="str">
        <f t="shared" si="30"/>
        <v>206||M2</v>
      </c>
      <c r="T216">
        <f>IF(COUNTIF($S$2:S216, S216)=1, 1, 0)</f>
        <v>1</v>
      </c>
      <c r="U216" t="str">
        <f t="shared" si="31"/>
        <v>206||T2</v>
      </c>
      <c r="V216">
        <f>IF(COUNTIF($U$2:U216, U216)=1, 1, 0)</f>
        <v>1</v>
      </c>
      <c r="W216" t="s">
        <v>495</v>
      </c>
      <c r="X216" t="s">
        <v>522</v>
      </c>
      <c r="Y216" t="str">
        <f>_xlfn.XLOOKUP(X216, codes!A:A, codes!F:F, "")</f>
        <v>M2</v>
      </c>
      <c r="Z216" t="str">
        <f>_xlfn.XLOOKUP(Y216, 'sub-themes'!A:A, 'sub-themes'!H:H, "")</f>
        <v>T2</v>
      </c>
    </row>
    <row r="217" spans="1:26" x14ac:dyDescent="0.2">
      <c r="A217">
        <v>207</v>
      </c>
      <c r="B217">
        <v>204</v>
      </c>
      <c r="C217" t="s">
        <v>7</v>
      </c>
      <c r="D217">
        <v>1</v>
      </c>
      <c r="E217">
        <v>1</v>
      </c>
      <c r="F217" t="s">
        <v>27</v>
      </c>
      <c r="G217" t="s">
        <v>496</v>
      </c>
      <c r="H217" t="str">
        <f t="shared" si="32"/>
        <v>followumesh/granite-3b-lora8-bias</v>
      </c>
      <c r="I217" t="str">
        <f t="shared" ref="I217:I220" si="35">B217 &amp; "||" &amp; F217 &amp; "||" &amp; H217</f>
        <v>204||['remove']||followumesh/granite-3b-lora8-bias</v>
      </c>
      <c r="J217">
        <f>IF(COUNTIF($I$2:I217, I217)=1, 1, 0)</f>
        <v>1</v>
      </c>
      <c r="K217" t="str">
        <f t="shared" si="28"/>
        <v>204||['remove']||followumesh/granite-3b-lora8-bias||C54</v>
      </c>
      <c r="L217">
        <f>IF(COUNTIF($K$2:K217, K217)=1, 1, 0)</f>
        <v>1</v>
      </c>
      <c r="M217" t="str">
        <f t="shared" si="33"/>
        <v>204||['remove']||followumesh/granite-3b-lora8-bias||M14</v>
      </c>
      <c r="N217">
        <f>IF(COUNTIF($M$2:M217, M217)=1, 1, 0)</f>
        <v>1</v>
      </c>
      <c r="O217" t="str">
        <f t="shared" si="34"/>
        <v>204||['remove']||followumesh/granite-3b-lora8-bias||T3</v>
      </c>
      <c r="P217">
        <f>IF(COUNTIF($O$2:O217, O217)=1, 1, 0)</f>
        <v>1</v>
      </c>
      <c r="Q217" t="str">
        <f t="shared" si="29"/>
        <v>207||C54</v>
      </c>
      <c r="R217">
        <f>IF(COUNTIF($Q$2:Q217, Q217)=1, 1, 0)</f>
        <v>1</v>
      </c>
      <c r="S217" t="str">
        <f t="shared" si="30"/>
        <v>207||M14</v>
      </c>
      <c r="T217">
        <f>IF(COUNTIF($S$2:S217, S217)=1, 1, 0)</f>
        <v>1</v>
      </c>
      <c r="U217" t="str">
        <f t="shared" si="31"/>
        <v>207||T3</v>
      </c>
      <c r="V217">
        <f>IF(COUNTIF($U$2:U217, U217)=1, 1, 0)</f>
        <v>1</v>
      </c>
      <c r="W217" s="3" t="s">
        <v>497</v>
      </c>
      <c r="X217" t="s">
        <v>406</v>
      </c>
      <c r="Y217" t="str">
        <f>_xlfn.XLOOKUP(X217, codes!A:A, codes!F:F, "")</f>
        <v>M14</v>
      </c>
      <c r="Z217" t="str">
        <f>_xlfn.XLOOKUP(Y217, 'sub-themes'!A:A, 'sub-themes'!H:H, "")</f>
        <v>T3</v>
      </c>
    </row>
    <row r="218" spans="1:26" ht="32" x14ac:dyDescent="0.2">
      <c r="A218">
        <v>207</v>
      </c>
      <c r="B218">
        <v>204</v>
      </c>
      <c r="C218" t="s">
        <v>19</v>
      </c>
      <c r="D218">
        <v>1</v>
      </c>
      <c r="E218">
        <v>1</v>
      </c>
      <c r="F218" t="s">
        <v>27</v>
      </c>
      <c r="G218" t="s">
        <v>496</v>
      </c>
      <c r="H218" t="str">
        <f t="shared" si="32"/>
        <v>followumesh/granite-3b-lora8-bias</v>
      </c>
      <c r="I218" t="str">
        <f t="shared" si="35"/>
        <v>204||['remove']||followumesh/granite-3b-lora8-bias</v>
      </c>
      <c r="J218">
        <f>IF(COUNTIF($I$2:I218, I218)=1, 1, 0)</f>
        <v>0</v>
      </c>
      <c r="K218" t="str">
        <f t="shared" si="28"/>
        <v>204||['remove']||followumesh/granite-3b-lora8-bias||C64</v>
      </c>
      <c r="L218">
        <f>IF(COUNTIF($K$2:K218, K218)=1, 1, 0)</f>
        <v>1</v>
      </c>
      <c r="M218" t="str">
        <f t="shared" si="33"/>
        <v>204||['remove']||followumesh/granite-3b-lora8-bias||M22</v>
      </c>
      <c r="N218">
        <f>IF(COUNTIF($M$2:M218, M218)=1, 1, 0)</f>
        <v>1</v>
      </c>
      <c r="O218" t="str">
        <f t="shared" si="34"/>
        <v>204||['remove']||followumesh/granite-3b-lora8-bias||T5</v>
      </c>
      <c r="P218">
        <f>IF(COUNTIF($O$2:O218, O218)=1, 1, 0)</f>
        <v>1</v>
      </c>
      <c r="Q218" t="str">
        <f t="shared" si="29"/>
        <v>207||C64</v>
      </c>
      <c r="R218">
        <f>IF(COUNTIF($Q$2:Q218, Q218)=1, 1, 0)</f>
        <v>1</v>
      </c>
      <c r="S218" t="str">
        <f t="shared" si="30"/>
        <v>207||M22</v>
      </c>
      <c r="T218">
        <f>IF(COUNTIF($S$2:S218, S218)=1, 1, 0)</f>
        <v>1</v>
      </c>
      <c r="U218" t="str">
        <f t="shared" si="31"/>
        <v>207||T5</v>
      </c>
      <c r="V218">
        <f>IF(COUNTIF($U$2:U218, U218)=1, 1, 0)</f>
        <v>1</v>
      </c>
      <c r="W218" s="5" t="s">
        <v>498</v>
      </c>
      <c r="X218" t="s">
        <v>500</v>
      </c>
      <c r="Y218" t="str">
        <f>_xlfn.XLOOKUP(X218, codes!A:A, codes!F:F, "")</f>
        <v>M22</v>
      </c>
      <c r="Z218" t="str">
        <f>_xlfn.XLOOKUP(Y218, 'sub-themes'!A:A, 'sub-themes'!H:H, "")</f>
        <v>T5</v>
      </c>
    </row>
    <row r="219" spans="1:26" ht="16" customHeight="1" x14ac:dyDescent="0.2">
      <c r="A219">
        <v>208</v>
      </c>
      <c r="B219">
        <v>225</v>
      </c>
      <c r="C219" t="s">
        <v>7</v>
      </c>
      <c r="D219">
        <v>2</v>
      </c>
      <c r="E219">
        <v>1</v>
      </c>
      <c r="F219" t="s">
        <v>8</v>
      </c>
      <c r="G219" t="s">
        <v>20</v>
      </c>
      <c r="H219" t="str">
        <f t="shared" si="32"/>
        <v>google-bert/bert-base-cased</v>
      </c>
      <c r="I219" t="str">
        <f t="shared" si="35"/>
        <v>225||['add']||google-bert/bert-base-cased</v>
      </c>
      <c r="J219">
        <f>IF(COUNTIF($I$2:I219, I219)=1, 1, 0)</f>
        <v>1</v>
      </c>
      <c r="K219" t="str">
        <f t="shared" si="28"/>
        <v>225||['add']||google-bert/bert-base-cased||C61</v>
      </c>
      <c r="L219">
        <f>IF(COUNTIF($K$2:K219, K219)=1, 1, 0)</f>
        <v>1</v>
      </c>
      <c r="M219" t="str">
        <f t="shared" si="33"/>
        <v>225||['add']||google-bert/bert-base-cased||M17</v>
      </c>
      <c r="N219">
        <f>IF(COUNTIF($M$2:M219, M219)=1, 1, 0)</f>
        <v>1</v>
      </c>
      <c r="O219" t="str">
        <f t="shared" si="34"/>
        <v>225||['add']||google-bert/bert-base-cased||T3</v>
      </c>
      <c r="P219">
        <f>IF(COUNTIF($O$2:O219, O219)=1, 1, 0)</f>
        <v>1</v>
      </c>
      <c r="Q219" t="str">
        <f t="shared" si="29"/>
        <v>208||C61</v>
      </c>
      <c r="R219">
        <f>IF(COUNTIF($Q$2:Q219, Q219)=1, 1, 0)</f>
        <v>1</v>
      </c>
      <c r="S219" t="str">
        <f t="shared" si="30"/>
        <v>208||M17</v>
      </c>
      <c r="T219">
        <f>IF(COUNTIF($S$2:S219, S219)=1, 1, 0)</f>
        <v>1</v>
      </c>
      <c r="U219" t="str">
        <f t="shared" si="31"/>
        <v>208||T3</v>
      </c>
      <c r="V219">
        <f>IF(COUNTIF($U$2:U219, U219)=1, 1, 0)</f>
        <v>1</v>
      </c>
      <c r="W219" s="2" t="s">
        <v>502</v>
      </c>
      <c r="X219" t="s">
        <v>422</v>
      </c>
      <c r="Y219" t="str">
        <f>_xlfn.XLOOKUP(X219, codes!A:A, codes!F:F, "")</f>
        <v>M17</v>
      </c>
      <c r="Z219" t="str">
        <f>_xlfn.XLOOKUP(Y219, 'sub-themes'!A:A, 'sub-themes'!H:H, "")</f>
        <v>T3</v>
      </c>
    </row>
    <row r="220" spans="1:26" ht="16" customHeight="1" x14ac:dyDescent="0.2">
      <c r="A220">
        <v>209</v>
      </c>
      <c r="B220">
        <v>225</v>
      </c>
      <c r="C220" t="s">
        <v>19</v>
      </c>
      <c r="D220">
        <v>2</v>
      </c>
      <c r="E220">
        <v>1</v>
      </c>
      <c r="F220" t="s">
        <v>8</v>
      </c>
      <c r="G220" t="s">
        <v>20</v>
      </c>
      <c r="H220" t="str">
        <f t="shared" si="32"/>
        <v>google-bert/bert-base-cased</v>
      </c>
      <c r="I220" t="str">
        <f t="shared" si="35"/>
        <v>225||['add']||google-bert/bert-base-cased</v>
      </c>
      <c r="J220">
        <f>IF(COUNTIF($I$2:I220, I220)=1, 1, 0)</f>
        <v>0</v>
      </c>
      <c r="K220" t="str">
        <f t="shared" si="28"/>
        <v>225||['add']||google-bert/bert-base-cased||C61</v>
      </c>
      <c r="L220">
        <f>IF(COUNTIF($K$2:K220, K220)=1, 1, 0)</f>
        <v>0</v>
      </c>
      <c r="M220" t="str">
        <f t="shared" si="33"/>
        <v>225||['add']||google-bert/bert-base-cased||M17</v>
      </c>
      <c r="N220">
        <f>IF(COUNTIF($M$2:M220, M220)=1, 1, 0)</f>
        <v>0</v>
      </c>
      <c r="O220" t="str">
        <f t="shared" si="34"/>
        <v>225||['add']||google-bert/bert-base-cased||T3</v>
      </c>
      <c r="P220">
        <f>IF(COUNTIF($O$2:O220, O220)=1, 1, 0)</f>
        <v>0</v>
      </c>
      <c r="Q220" t="str">
        <f t="shared" si="29"/>
        <v>209||C61</v>
      </c>
      <c r="R220">
        <f>IF(COUNTIF($Q$2:Q220, Q220)=1, 1, 0)</f>
        <v>1</v>
      </c>
      <c r="S220" t="str">
        <f t="shared" si="30"/>
        <v>209||M17</v>
      </c>
      <c r="T220">
        <f>IF(COUNTIF($S$2:S220, S220)=1, 1, 0)</f>
        <v>1</v>
      </c>
      <c r="U220" t="str">
        <f t="shared" si="31"/>
        <v>209||T3</v>
      </c>
      <c r="V220">
        <f>IF(COUNTIF($U$2:U220, U220)=1, 1, 0)</f>
        <v>1</v>
      </c>
      <c r="W220" s="2" t="s">
        <v>502</v>
      </c>
      <c r="X220" t="s">
        <v>422</v>
      </c>
      <c r="Y220" t="str">
        <f>_xlfn.XLOOKUP(X220, codes!A:A, codes!F:F, "")</f>
        <v>M17</v>
      </c>
      <c r="Z220" t="str">
        <f>_xlfn.XLOOKUP(Y220, 'sub-themes'!A:A, 'sub-themes'!H:H, "")</f>
        <v>T3</v>
      </c>
    </row>
    <row r="222" spans="1:26" x14ac:dyDescent="0.2">
      <c r="F222" s="4"/>
      <c r="G222" s="2"/>
      <c r="H222" s="4"/>
      <c r="I222" s="2"/>
      <c r="J222" s="4"/>
      <c r="K222" s="2"/>
      <c r="N222" s="2"/>
      <c r="O222" s="2"/>
      <c r="P222" s="2"/>
      <c r="Q222" s="2"/>
      <c r="R222" s="2"/>
      <c r="S222" s="2"/>
      <c r="T222" s="2"/>
      <c r="U222" s="2"/>
      <c r="V222" s="2"/>
    </row>
  </sheetData>
  <autoFilter ref="X1:Z220" xr:uid="{3E8CDB6B-7AA9-9D49-85D0-31F51C09EED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F60C-ADF1-C644-A346-AB2C182A2176}">
  <dimension ref="A1:J86"/>
  <sheetViews>
    <sheetView topLeftCell="A39" zoomScale="120" zoomScaleNormal="120" workbookViewId="0">
      <selection activeCell="F58" sqref="F58"/>
    </sheetView>
  </sheetViews>
  <sheetFormatPr baseColWidth="10" defaultRowHeight="15" x14ac:dyDescent="0.2"/>
  <cols>
    <col min="2" max="2" width="54" bestFit="1" customWidth="1"/>
    <col min="3" max="3" width="10.6640625" customWidth="1"/>
    <col min="4" max="5" width="16.5" customWidth="1"/>
    <col min="6" max="6" width="14.1640625" bestFit="1" customWidth="1"/>
    <col min="9" max="9" width="12.33203125" bestFit="1" customWidth="1"/>
  </cols>
  <sheetData>
    <row r="1" spans="1:10" x14ac:dyDescent="0.2">
      <c r="A1" s="8" t="s">
        <v>278</v>
      </c>
      <c r="B1" s="8" t="s">
        <v>277</v>
      </c>
      <c r="C1" s="8" t="s">
        <v>447</v>
      </c>
      <c r="D1" s="8" t="s">
        <v>449</v>
      </c>
      <c r="E1" s="8" t="s">
        <v>544</v>
      </c>
      <c r="F1" s="8" t="s">
        <v>528</v>
      </c>
      <c r="G1" s="8" t="s">
        <v>468</v>
      </c>
      <c r="H1" s="8" t="s">
        <v>469</v>
      </c>
      <c r="I1" s="8" t="s">
        <v>470</v>
      </c>
      <c r="J1" s="8" t="s">
        <v>447</v>
      </c>
    </row>
    <row r="2" spans="1:10" x14ac:dyDescent="0.2">
      <c r="A2" s="7" t="s">
        <v>280</v>
      </c>
      <c r="B2" t="s">
        <v>286</v>
      </c>
      <c r="C2" cm="1">
        <f t="array" ref="C2">SUMPRODUCT(--('key information'!$X$2:$X$220=$A2),
            --('key information'!$R$2:$R$220=1))</f>
        <v>2</v>
      </c>
      <c r="D2" cm="1">
        <f t="array" ref="D2">SUMPRODUCT(
  --('key information'!$X$2:$X$220=$A2),
  --('key information'!$L$2:$L$220=1),
  IFERROR(VALUE('key information'!$D$2:$D$220),0)
)</f>
        <v>2</v>
      </c>
      <c r="E2">
        <f>COUNTIF('key information'!X2:X220, codes!A2)</f>
        <v>2</v>
      </c>
      <c r="F2" t="s">
        <v>388</v>
      </c>
      <c r="G2" cm="1">
        <f t="array" ref="G2">SUMPRODUCT(
  --('key information'!$X$2:$X$220=$A2),
  --('key information'!$L$2:$L$220=1),
  --('key information'!$F$2:$F$220="['add']"),
  IFERROR(VALUE('key information'!$D$2:$D$220),0)
)</f>
        <v>2</v>
      </c>
      <c r="H2" cm="1">
        <f t="array" ref="H2">SUMPRODUCT(
  --('key information'!$X$2:$X$220=$A2),
  --('key information'!$L$2:$L$220=1),
  --('key information'!$F$2:$F$220="['remove']"),
  IFERROR(VALUE('key information'!$D$2:$D$220),0)
)</f>
        <v>0</v>
      </c>
      <c r="I2" cm="1">
        <f t="array" ref="I2">SUMPRODUCT(
  --('key information'!$X$2:$X$220=$A2),
  --('key information'!$L$2:$L$220=1),
  --('key information'!$F$2:$F$220="['migrate']"),
  IFERROR(VALUE('key information'!$D$2:$D$220),0)
)</f>
        <v>0</v>
      </c>
      <c r="J2">
        <f>COUNTIF('key information'!$X:$X, A2)</f>
        <v>2</v>
      </c>
    </row>
    <row r="3" spans="1:10" x14ac:dyDescent="0.2">
      <c r="A3" s="7" t="s">
        <v>281</v>
      </c>
      <c r="B3" t="s">
        <v>412</v>
      </c>
      <c r="C3" cm="1">
        <f t="array" ref="C3">SUMPRODUCT(--('key information'!$X$2:$X$220=$A3),
            --('key information'!$R$2:$R$220=1))</f>
        <v>3</v>
      </c>
      <c r="D3" cm="1">
        <f t="array" ref="D3">SUMPRODUCT(
  --('key information'!$X$2:$X$220=$A3),
  --('key information'!$L$2:$L$220=1),
  IFERROR(VALUE('key information'!$D$2:$D$220),0)
)</f>
        <v>1</v>
      </c>
      <c r="E3">
        <f>COUNTIF('key information'!X3:X221, codes!A3)</f>
        <v>3</v>
      </c>
      <c r="F3" t="s">
        <v>459</v>
      </c>
      <c r="G3" cm="1">
        <f t="array" ref="G3">SUMPRODUCT(
  --('key information'!$X$2:$X$220=$A3),
  --('key information'!$L$2:$L$220=1),
  --('key information'!$F$2:$F$220="['add']"),
  IFERROR(VALUE('key information'!$D$2:$D$220),0)
)</f>
        <v>1</v>
      </c>
      <c r="H3" cm="1">
        <f t="array" ref="H3">SUMPRODUCT(
  --('key information'!$X$2:$X$220=$A3),
  --('key information'!$L$2:$L$220=1),
  --('key information'!$F$2:$F$220="['remove']"),
  IFERROR(VALUE('key information'!$D$2:$D$220),0)
)</f>
        <v>0</v>
      </c>
      <c r="I3" cm="1">
        <f t="array" ref="I3">SUMPRODUCT(
  --('key information'!$X$2:$X$220=$A3),
  --('key information'!$L$2:$L$220=1),
  --('key information'!$F$2:$F$220="['migrate']"),
  IFERROR(VALUE('key information'!$D$2:$D$220),0)
)</f>
        <v>0</v>
      </c>
      <c r="J3">
        <f>COUNTIF('key information'!$X:$X, A3)</f>
        <v>3</v>
      </c>
    </row>
    <row r="4" spans="1:10" x14ac:dyDescent="0.2">
      <c r="A4" s="7" t="s">
        <v>285</v>
      </c>
      <c r="B4" t="s">
        <v>287</v>
      </c>
      <c r="C4" cm="1">
        <f t="array" ref="C4">SUMPRODUCT(--('key information'!$X$2:$X$220=$A4),
            --('key information'!$R$2:$R$220=1))</f>
        <v>1</v>
      </c>
      <c r="D4" cm="1">
        <f t="array" ref="D4">SUMPRODUCT(
  --('key information'!$X$2:$X$220=$A4),
  --('key information'!$L$2:$L$220=1),
  IFERROR(VALUE('key information'!$D$2:$D$220),0)
)</f>
        <v>1</v>
      </c>
      <c r="E4">
        <f>COUNTIF('key information'!X4:X222, codes!A4)</f>
        <v>1</v>
      </c>
      <c r="F4" t="s">
        <v>464</v>
      </c>
      <c r="G4" cm="1">
        <f t="array" ref="G4">SUMPRODUCT(
  --('key information'!$X$2:$X$220=$A4),
  --('key information'!$L$2:$L$220=1),
  --('key information'!$F$2:$F$220="['add']"),
  IFERROR(VALUE('key information'!$D$2:$D$220),0)
)</f>
        <v>1</v>
      </c>
      <c r="H4" cm="1">
        <f t="array" ref="H4">SUMPRODUCT(
  --('key information'!$X$2:$X$220=$A4),
  --('key information'!$L$2:$L$220=1),
  --('key information'!$F$2:$F$220="['remove']"),
  IFERROR(VALUE('key information'!$D$2:$D$220),0)
)</f>
        <v>0</v>
      </c>
      <c r="I4" cm="1">
        <f t="array" ref="I4">SUMPRODUCT(
  --('key information'!$X$2:$X$220=$A4),
  --('key information'!$L$2:$L$220=1),
  --('key information'!$F$2:$F$220="['migrate']"),
  IFERROR(VALUE('key information'!$D$2:$D$220),0)
)</f>
        <v>0</v>
      </c>
      <c r="J4">
        <f>COUNTIF('key information'!$X:$X, A4)</f>
        <v>1</v>
      </c>
    </row>
    <row r="5" spans="1:10" x14ac:dyDescent="0.2">
      <c r="A5" s="7" t="s">
        <v>288</v>
      </c>
      <c r="B5" t="s">
        <v>289</v>
      </c>
      <c r="C5" cm="1">
        <f t="array" ref="C5">SUMPRODUCT(--('key information'!$X$2:$X$220=$A5),
            --('key information'!$R$2:$R$220=1))</f>
        <v>4</v>
      </c>
      <c r="D5" cm="1">
        <f t="array" ref="D5">SUMPRODUCT(
  --('key information'!$X$2:$X$220=$A5),
  --('key information'!$L$2:$L$220=1),
  IFERROR(VALUE('key information'!$D$2:$D$220),0)
)</f>
        <v>7</v>
      </c>
      <c r="E5">
        <f>COUNTIF('key information'!X5:X223, codes!A5)</f>
        <v>4</v>
      </c>
      <c r="F5" t="s">
        <v>379</v>
      </c>
      <c r="G5" cm="1">
        <f t="array" ref="G5">SUMPRODUCT(
  --('key information'!$X$2:$X$220=$A5),
  --('key information'!$L$2:$L$220=1),
  --('key information'!$F$2:$F$220="['add']"),
  IFERROR(VALUE('key information'!$D$2:$D$220),0)
)</f>
        <v>7</v>
      </c>
      <c r="H5" cm="1">
        <f t="array" ref="H5">SUMPRODUCT(
  --('key information'!$X$2:$X$220=$A5),
  --('key information'!$L$2:$L$220=1),
  --('key information'!$F$2:$F$220="['remove']"),
  IFERROR(VALUE('key information'!$D$2:$D$220),0)
)</f>
        <v>0</v>
      </c>
      <c r="I5" cm="1">
        <f t="array" ref="I5">SUMPRODUCT(
  --('key information'!$X$2:$X$220=$A5),
  --('key information'!$L$2:$L$220=1),
  --('key information'!$F$2:$F$220="['migrate']"),
  IFERROR(VALUE('key information'!$D$2:$D$220),0)
)</f>
        <v>0</v>
      </c>
      <c r="J5">
        <f>COUNTIF('key information'!$X:$X, A5)</f>
        <v>4</v>
      </c>
    </row>
    <row r="6" spans="1:10" x14ac:dyDescent="0.2">
      <c r="A6" s="7" t="s">
        <v>291</v>
      </c>
      <c r="B6" t="s">
        <v>453</v>
      </c>
      <c r="C6" cm="1">
        <f t="array" ref="C6">SUMPRODUCT(--('key information'!$X$2:$X$220=$A6),
            --('key information'!$R$2:$R$220=1))</f>
        <v>8</v>
      </c>
      <c r="D6" cm="1">
        <f t="array" ref="D6">SUMPRODUCT(
  --('key information'!$X$2:$X$220=$A6),
  --('key information'!$L$2:$L$220=1),
  IFERROR(VALUE('key information'!$D$2:$D$220),0)
)</f>
        <v>8</v>
      </c>
      <c r="E6">
        <f>COUNTIF('key information'!X6:X224, codes!A6)</f>
        <v>8</v>
      </c>
      <c r="F6" t="s">
        <v>456</v>
      </c>
      <c r="G6" cm="1">
        <f t="array" ref="G6">SUMPRODUCT(
  --('key information'!$X$2:$X$220=$A6),
  --('key information'!$L$2:$L$220=1),
  --('key information'!$F$2:$F$220="['add']"),
  IFERROR(VALUE('key information'!$D$2:$D$220),0)
)</f>
        <v>8</v>
      </c>
      <c r="H6" cm="1">
        <f t="array" ref="H6">SUMPRODUCT(
  --('key information'!$X$2:$X$220=$A6),
  --('key information'!$L$2:$L$220=1),
  --('key information'!$F$2:$F$220="['remove']"),
  IFERROR(VALUE('key information'!$D$2:$D$220),0)
)</f>
        <v>0</v>
      </c>
      <c r="I6" cm="1">
        <f t="array" ref="I6">SUMPRODUCT(
  --('key information'!$X$2:$X$220=$A6),
  --('key information'!$L$2:$L$220=1),
  --('key information'!$F$2:$F$220="['migrate']"),
  IFERROR(VALUE('key information'!$D$2:$D$220),0)
)</f>
        <v>0</v>
      </c>
      <c r="J6">
        <f>COUNTIF('key information'!$X:$X, A6)</f>
        <v>8</v>
      </c>
    </row>
    <row r="7" spans="1:10" x14ac:dyDescent="0.2">
      <c r="A7" s="7" t="s">
        <v>292</v>
      </c>
      <c r="B7" t="s">
        <v>444</v>
      </c>
      <c r="C7" cm="1">
        <f t="array" ref="C7">SUMPRODUCT(--('key information'!$X$2:$X$220=$A7),
            --('key information'!$R$2:$R$220=1))</f>
        <v>1</v>
      </c>
      <c r="D7" cm="1">
        <f t="array" ref="D7">SUMPRODUCT(
  --('key information'!$X$2:$X$220=$A7),
  --('key information'!$L$2:$L$220=1),
  IFERROR(VALUE('key information'!$D$2:$D$220),0)
)</f>
        <v>8</v>
      </c>
      <c r="E7">
        <f>COUNTIF('key information'!X7:X225, codes!A7)</f>
        <v>1</v>
      </c>
      <c r="F7" t="s">
        <v>382</v>
      </c>
      <c r="G7" cm="1">
        <f t="array" ref="G7">SUMPRODUCT(
  --('key information'!$X$2:$X$220=$A7),
  --('key information'!$L$2:$L$220=1),
  --('key information'!$F$2:$F$220="['add']"),
  IFERROR(VALUE('key information'!$D$2:$D$220),0)
)</f>
        <v>0</v>
      </c>
      <c r="H7" cm="1">
        <f t="array" ref="H7">SUMPRODUCT(
  --('key information'!$X$2:$X$220=$A7),
  --('key information'!$L$2:$L$220=1),
  --('key information'!$F$2:$F$220="['remove']"),
  IFERROR(VALUE('key information'!$D$2:$D$220),0)
)</f>
        <v>0</v>
      </c>
      <c r="I7" cm="1">
        <f t="array" ref="I7">SUMPRODUCT(
  --('key information'!$X$2:$X$220=$A7),
  --('key information'!$L$2:$L$220=1),
  --('key information'!$F$2:$F$220="['migrate']"),
  IFERROR(VALUE('key information'!$D$2:$D$220),0)
)</f>
        <v>8</v>
      </c>
      <c r="J7">
        <f>COUNTIF('key information'!$X:$X, A7)</f>
        <v>1</v>
      </c>
    </row>
    <row r="8" spans="1:10" x14ac:dyDescent="0.2">
      <c r="A8" s="7" t="s">
        <v>294</v>
      </c>
      <c r="B8" t="s">
        <v>295</v>
      </c>
      <c r="C8" cm="1">
        <f t="array" ref="C8">SUMPRODUCT(--('key information'!$X$2:$X$220=$A8),
            --('key information'!$R$2:$R$220=1))</f>
        <v>3</v>
      </c>
      <c r="D8" cm="1">
        <f t="array" ref="D8">SUMPRODUCT(
  --('key information'!$X$2:$X$220=$A8),
  --('key information'!$L$2:$L$220=1),
  IFERROR(VALUE('key information'!$D$2:$D$220),0)
)</f>
        <v>4</v>
      </c>
      <c r="E8">
        <f>COUNTIF('key information'!X8:X226, codes!A8)</f>
        <v>3</v>
      </c>
      <c r="F8" t="s">
        <v>383</v>
      </c>
      <c r="G8" cm="1">
        <f t="array" ref="G8">SUMPRODUCT(
  --('key information'!$X$2:$X$220=$A8),
  --('key information'!$L$2:$L$220=1),
  --('key information'!$F$2:$F$220="['add']"),
  IFERROR(VALUE('key information'!$D$2:$D$220),0)
)</f>
        <v>0</v>
      </c>
      <c r="H8" cm="1">
        <f t="array" ref="H8">SUMPRODUCT(
  --('key information'!$X$2:$X$220=$A8),
  --('key information'!$L$2:$L$220=1),
  --('key information'!$F$2:$F$220="['remove']"),
  IFERROR(VALUE('key information'!$D$2:$D$220),0)
)</f>
        <v>0</v>
      </c>
      <c r="I8" cm="1">
        <f t="array" ref="I8">SUMPRODUCT(
  --('key information'!$X$2:$X$220=$A8),
  --('key information'!$L$2:$L$220=1),
  --('key information'!$F$2:$F$220="['migrate']"),
  IFERROR(VALUE('key information'!$D$2:$D$220),0)
)</f>
        <v>4</v>
      </c>
      <c r="J8">
        <f>COUNTIF('key information'!$X:$X, A8)</f>
        <v>3</v>
      </c>
    </row>
    <row r="9" spans="1:10" x14ac:dyDescent="0.2">
      <c r="A9" s="7" t="s">
        <v>297</v>
      </c>
      <c r="B9" t="s">
        <v>296</v>
      </c>
      <c r="C9" cm="1">
        <f t="array" ref="C9">SUMPRODUCT(--('key information'!$X$2:$X$220=$A9),
            --('key information'!$R$2:$R$220=1))</f>
        <v>1</v>
      </c>
      <c r="D9" cm="1">
        <f t="array" ref="D9">SUMPRODUCT(
  --('key information'!$X$2:$X$220=$A9),
  --('key information'!$L$2:$L$220=1),
  IFERROR(VALUE('key information'!$D$2:$D$220),0)
)</f>
        <v>2</v>
      </c>
      <c r="E9">
        <f>COUNTIF('key information'!X9:X227, codes!A9)</f>
        <v>2</v>
      </c>
      <c r="F9" t="s">
        <v>384</v>
      </c>
      <c r="G9" cm="1">
        <f t="array" ref="G9">SUMPRODUCT(
  --('key information'!$X$2:$X$220=$A9),
  --('key information'!$L$2:$L$220=1),
  --('key information'!$F$2:$F$220="['add']"),
  IFERROR(VALUE('key information'!$D$2:$D$220),0)
)</f>
        <v>1</v>
      </c>
      <c r="H9" cm="1">
        <f t="array" ref="H9">SUMPRODUCT(
  --('key information'!$X$2:$X$220=$A9),
  --('key information'!$L$2:$L$220=1),
  --('key information'!$F$2:$F$220="['remove']"),
  IFERROR(VALUE('key information'!$D$2:$D$220),0)
)</f>
        <v>0</v>
      </c>
      <c r="I9" cm="1">
        <f t="array" ref="I9">SUMPRODUCT(
  --('key information'!$X$2:$X$220=$A9),
  --('key information'!$L$2:$L$220=1),
  --('key information'!$F$2:$F$220="['migrate']"),
  IFERROR(VALUE('key information'!$D$2:$D$220),0)
)</f>
        <v>1</v>
      </c>
      <c r="J9">
        <f>COUNTIF('key information'!$X:$X, A9)</f>
        <v>2</v>
      </c>
    </row>
    <row r="10" spans="1:10" x14ac:dyDescent="0.2">
      <c r="A10" s="7" t="s">
        <v>299</v>
      </c>
      <c r="B10" t="s">
        <v>298</v>
      </c>
      <c r="C10" cm="1">
        <f t="array" ref="C10">SUMPRODUCT(--('key information'!$X$2:$X$220=$A10),
            --('key information'!$R$2:$R$220=1))</f>
        <v>2</v>
      </c>
      <c r="D10" cm="1">
        <f t="array" ref="D10">SUMPRODUCT(
  --('key information'!$X$2:$X$220=$A10),
  --('key information'!$L$2:$L$220=1),
  IFERROR(VALUE('key information'!$D$2:$D$220),0)
)</f>
        <v>3</v>
      </c>
      <c r="E10">
        <f>COUNTIF('key information'!X10:X228, codes!A10)</f>
        <v>3</v>
      </c>
      <c r="F10" t="s">
        <v>384</v>
      </c>
      <c r="G10" cm="1">
        <f t="array" ref="G10">SUMPRODUCT(
  --('key information'!$X$2:$X$220=$A10),
  --('key information'!$L$2:$L$220=1),
  --('key information'!$F$2:$F$220="['add']"),
  IFERROR(VALUE('key information'!$D$2:$D$220),0)
)</f>
        <v>1</v>
      </c>
      <c r="H10" cm="1">
        <f t="array" ref="H10">SUMPRODUCT(
  --('key information'!$X$2:$X$220=$A10),
  --('key information'!$L$2:$L$220=1),
  --('key information'!$F$2:$F$220="['remove']"),
  IFERROR(VALUE('key information'!$D$2:$D$220),0)
)</f>
        <v>0</v>
      </c>
      <c r="I10" cm="1">
        <f t="array" ref="I10">SUMPRODUCT(
  --('key information'!$X$2:$X$220=$A10),
  --('key information'!$L$2:$L$220=1),
  --('key information'!$F$2:$F$220="['migrate']"),
  IFERROR(VALUE('key information'!$D$2:$D$220),0)
)</f>
        <v>2</v>
      </c>
      <c r="J10">
        <f>COUNTIF('key information'!$X:$X, A10)</f>
        <v>3</v>
      </c>
    </row>
    <row r="11" spans="1:10" x14ac:dyDescent="0.2">
      <c r="A11" s="7" t="s">
        <v>300</v>
      </c>
      <c r="B11" t="s">
        <v>362</v>
      </c>
      <c r="C11" cm="1">
        <f t="array" ref="C11">SUMPRODUCT(--('key information'!$X$2:$X$220=$A11),
            --('key information'!$R$2:$R$220=1))</f>
        <v>5</v>
      </c>
      <c r="D11" cm="1">
        <f t="array" ref="D11">SUMPRODUCT(
  --('key information'!$X$2:$X$220=$A11),
  --('key information'!$L$2:$L$220=1),
  IFERROR(VALUE('key information'!$D$2:$D$220),0)
)</f>
        <v>8</v>
      </c>
      <c r="E11">
        <f>COUNTIF('key information'!X11:X229, codes!A11)</f>
        <v>4</v>
      </c>
      <c r="F11" t="s">
        <v>385</v>
      </c>
      <c r="G11" cm="1">
        <f t="array" ref="G11">SUMPRODUCT(
  --('key information'!$X$2:$X$220=$A11),
  --('key information'!$L$2:$L$220=1),
  --('key information'!$F$2:$F$220="['add']"),
  IFERROR(VALUE('key information'!$D$2:$D$220),0)
)</f>
        <v>8</v>
      </c>
      <c r="H11" cm="1">
        <f t="array" ref="H11">SUMPRODUCT(
  --('key information'!$X$2:$X$220=$A11),
  --('key information'!$L$2:$L$220=1),
  --('key information'!$F$2:$F$220="['remove']"),
  IFERROR(VALUE('key information'!$D$2:$D$220),0)
)</f>
        <v>0</v>
      </c>
      <c r="I11" cm="1">
        <f t="array" ref="I11">SUMPRODUCT(
  --('key information'!$X$2:$X$220=$A11),
  --('key information'!$L$2:$L$220=1),
  --('key information'!$F$2:$F$220="['migrate']"),
  IFERROR(VALUE('key information'!$D$2:$D$220),0)
)</f>
        <v>0</v>
      </c>
      <c r="J11">
        <f>COUNTIF('key information'!$X:$X, A11)</f>
        <v>5</v>
      </c>
    </row>
    <row r="12" spans="1:10" x14ac:dyDescent="0.2">
      <c r="A12" s="7" t="s">
        <v>302</v>
      </c>
      <c r="B12" t="s">
        <v>322</v>
      </c>
      <c r="C12" cm="1">
        <f t="array" ref="C12">SUMPRODUCT(--('key information'!$X$2:$X$220=$A12),
            --('key information'!$R$2:$R$220=1))</f>
        <v>4</v>
      </c>
      <c r="D12" cm="1">
        <f t="array" ref="D12">SUMPRODUCT(
  --('key information'!$X$2:$X$220=$A12),
  --('key information'!$L$2:$L$220=1),
  IFERROR(VALUE('key information'!$D$2:$D$220),0)
)</f>
        <v>2</v>
      </c>
      <c r="E12">
        <f>COUNTIF('key information'!X12:X230, codes!A12)</f>
        <v>4</v>
      </c>
      <c r="F12" t="s">
        <v>386</v>
      </c>
      <c r="G12" cm="1">
        <f t="array" ref="G12">SUMPRODUCT(
  --('key information'!$X$2:$X$220=$A12),
  --('key information'!$L$2:$L$220=1),
  --('key information'!$F$2:$F$220="['add']"),
  IFERROR(VALUE('key information'!$D$2:$D$220),0)
)</f>
        <v>2</v>
      </c>
      <c r="H12" cm="1">
        <f t="array" ref="H12">SUMPRODUCT(
  --('key information'!$X$2:$X$220=$A12),
  --('key information'!$L$2:$L$220=1),
  --('key information'!$F$2:$F$220="['remove']"),
  IFERROR(VALUE('key information'!$D$2:$D$220),0)
)</f>
        <v>0</v>
      </c>
      <c r="I12" cm="1">
        <f t="array" ref="I12">SUMPRODUCT(
  --('key information'!$X$2:$X$220=$A12),
  --('key information'!$L$2:$L$220=1),
  --('key information'!$F$2:$F$220="['migrate']"),
  IFERROR(VALUE('key information'!$D$2:$D$220),0)
)</f>
        <v>0</v>
      </c>
      <c r="J12">
        <f>COUNTIF('key information'!$X:$X, A12)</f>
        <v>4</v>
      </c>
    </row>
    <row r="13" spans="1:10" x14ac:dyDescent="0.2">
      <c r="A13" s="7" t="s">
        <v>303</v>
      </c>
      <c r="B13" t="s">
        <v>399</v>
      </c>
      <c r="C13" cm="1">
        <f t="array" ref="C13">SUMPRODUCT(--('key information'!$X$2:$X$220=$A13),
            --('key information'!$R$2:$R$220=1))</f>
        <v>2</v>
      </c>
      <c r="D13" cm="1">
        <f t="array" ref="D13">SUMPRODUCT(
  --('key information'!$X$2:$X$220=$A13),
  --('key information'!$L$2:$L$220=1),
  IFERROR(VALUE('key information'!$D$2:$D$220),0)
)</f>
        <v>2</v>
      </c>
      <c r="E13">
        <f>COUNTIF('key information'!X13:X231, codes!A13)</f>
        <v>2</v>
      </c>
      <c r="F13" t="s">
        <v>387</v>
      </c>
      <c r="G13" cm="1">
        <f t="array" ref="G13">SUMPRODUCT(
  --('key information'!$X$2:$X$220=$A13),
  --('key information'!$L$2:$L$220=1),
  --('key information'!$F$2:$F$220="['add']"),
  IFERROR(VALUE('key information'!$D$2:$D$220),0)
)</f>
        <v>2</v>
      </c>
      <c r="H13" cm="1">
        <f t="array" ref="H13">SUMPRODUCT(
  --('key information'!$X$2:$X$220=$A13),
  --('key information'!$L$2:$L$220=1),
  --('key information'!$F$2:$F$220="['remove']"),
  IFERROR(VALUE('key information'!$D$2:$D$220),0)
)</f>
        <v>0</v>
      </c>
      <c r="I13" cm="1">
        <f t="array" ref="I13">SUMPRODUCT(
  --('key information'!$X$2:$X$220=$A13),
  --('key information'!$L$2:$L$220=1),
  --('key information'!$F$2:$F$220="['migrate']"),
  IFERROR(VALUE('key information'!$D$2:$D$220),0)
)</f>
        <v>0</v>
      </c>
      <c r="J13">
        <f>COUNTIF('key information'!$X:$X, A13)</f>
        <v>2</v>
      </c>
    </row>
    <row r="14" spans="1:10" x14ac:dyDescent="0.2">
      <c r="A14" s="7" t="s">
        <v>304</v>
      </c>
      <c r="B14" t="s">
        <v>305</v>
      </c>
      <c r="C14" cm="1">
        <f t="array" ref="C14">SUMPRODUCT(--('key information'!$X$2:$X$220=$A14),
            --('key information'!$R$2:$R$220=1))</f>
        <v>3</v>
      </c>
      <c r="D14" cm="1">
        <f t="array" ref="D14">SUMPRODUCT(
  --('key information'!$X$2:$X$220=$A14),
  --('key information'!$L$2:$L$220=1),
  IFERROR(VALUE('key information'!$D$2:$D$220),0)
)</f>
        <v>1</v>
      </c>
      <c r="E14">
        <f>COUNTIF('key information'!X14:X232, codes!A14)</f>
        <v>3</v>
      </c>
      <c r="F14" t="s">
        <v>379</v>
      </c>
      <c r="G14" cm="1">
        <f t="array" ref="G14">SUMPRODUCT(
  --('key information'!$X$2:$X$220=$A14),
  --('key information'!$L$2:$L$220=1),
  --('key information'!$F$2:$F$220="['add']"),
  IFERROR(VALUE('key information'!$D$2:$D$220),0)
)</f>
        <v>1</v>
      </c>
      <c r="H14" cm="1">
        <f t="array" ref="H14">SUMPRODUCT(
  --('key information'!$X$2:$X$220=$A14),
  --('key information'!$L$2:$L$220=1),
  --('key information'!$F$2:$F$220="['remove']"),
  IFERROR(VALUE('key information'!$D$2:$D$220),0)
)</f>
        <v>0</v>
      </c>
      <c r="I14" cm="1">
        <f t="array" ref="I14">SUMPRODUCT(
  --('key information'!$X$2:$X$220=$A14),
  --('key information'!$L$2:$L$220=1),
  --('key information'!$F$2:$F$220="['migrate']"),
  IFERROR(VALUE('key information'!$D$2:$D$220),0)
)</f>
        <v>0</v>
      </c>
      <c r="J14">
        <f>COUNTIF('key information'!$X:$X, A14)</f>
        <v>3</v>
      </c>
    </row>
    <row r="15" spans="1:10" x14ac:dyDescent="0.2">
      <c r="A15" s="7" t="s">
        <v>306</v>
      </c>
      <c r="B15" t="s">
        <v>307</v>
      </c>
      <c r="C15" cm="1">
        <f t="array" ref="C15">SUMPRODUCT(--('key information'!$X$2:$X$220=$A15),
            --('key information'!$R$2:$R$220=1))</f>
        <v>1</v>
      </c>
      <c r="D15" cm="1">
        <f t="array" ref="D15">SUMPRODUCT(
  --('key information'!$X$2:$X$220=$A15),
  --('key information'!$L$2:$L$220=1),
  IFERROR(VALUE('key information'!$D$2:$D$220),0)
)</f>
        <v>1</v>
      </c>
      <c r="E15">
        <f>COUNTIF('key information'!X15:X233, codes!A15)</f>
        <v>1</v>
      </c>
      <c r="F15" t="s">
        <v>379</v>
      </c>
      <c r="G15" cm="1">
        <f t="array" ref="G15">SUMPRODUCT(
  --('key information'!$X$2:$X$220=$A15),
  --('key information'!$L$2:$L$220=1),
  --('key information'!$F$2:$F$220="['add']"),
  IFERROR(VALUE('key information'!$D$2:$D$220),0)
)</f>
        <v>1</v>
      </c>
      <c r="H15" cm="1">
        <f t="array" ref="H15">SUMPRODUCT(
  --('key information'!$X$2:$X$220=$A15),
  --('key information'!$L$2:$L$220=1),
  --('key information'!$F$2:$F$220="['remove']"),
  IFERROR(VALUE('key information'!$D$2:$D$220),0)
)</f>
        <v>0</v>
      </c>
      <c r="I15" cm="1">
        <f t="array" ref="I15">SUMPRODUCT(
  --('key information'!$X$2:$X$220=$A15),
  --('key information'!$L$2:$L$220=1),
  --('key information'!$F$2:$F$220="['migrate']"),
  IFERROR(VALUE('key information'!$D$2:$D$220),0)
)</f>
        <v>0</v>
      </c>
      <c r="J15">
        <f>COUNTIF('key information'!$X:$X, A15)</f>
        <v>1</v>
      </c>
    </row>
    <row r="16" spans="1:10" x14ac:dyDescent="0.2">
      <c r="A16" s="7" t="s">
        <v>308</v>
      </c>
      <c r="B16" t="s">
        <v>309</v>
      </c>
      <c r="C16" cm="1">
        <f t="array" ref="C16">SUMPRODUCT(--('key information'!$X$2:$X$220=$A16),
            --('key information'!$R$2:$R$220=1))</f>
        <v>5</v>
      </c>
      <c r="D16" cm="1">
        <f t="array" ref="D16">SUMPRODUCT(
  --('key information'!$X$2:$X$220=$A16),
  --('key information'!$L$2:$L$220=1),
  IFERROR(VALUE('key information'!$D$2:$D$220),0)
)</f>
        <v>7</v>
      </c>
      <c r="E16">
        <f>COUNTIF('key information'!X16:X234, codes!A16)</f>
        <v>5</v>
      </c>
      <c r="F16" t="s">
        <v>379</v>
      </c>
      <c r="G16" cm="1">
        <f t="array" ref="G16">SUMPRODUCT(
  --('key information'!$X$2:$X$220=$A16),
  --('key information'!$L$2:$L$220=1),
  --('key information'!$F$2:$F$220="['add']"),
  IFERROR(VALUE('key information'!$D$2:$D$220),0)
)</f>
        <v>7</v>
      </c>
      <c r="H16" cm="1">
        <f t="array" ref="H16">SUMPRODUCT(
  --('key information'!$X$2:$X$220=$A16),
  --('key information'!$L$2:$L$220=1),
  --('key information'!$F$2:$F$220="['remove']"),
  IFERROR(VALUE('key information'!$D$2:$D$220),0)
)</f>
        <v>0</v>
      </c>
      <c r="I16" cm="1">
        <f t="array" ref="I16">SUMPRODUCT(
  --('key information'!$X$2:$X$220=$A16),
  --('key information'!$L$2:$L$220=1),
  --('key information'!$F$2:$F$220="['migrate']"),
  IFERROR(VALUE('key information'!$D$2:$D$220),0)
)</f>
        <v>0</v>
      </c>
      <c r="J16">
        <f>COUNTIF('key information'!$X:$X, A16)</f>
        <v>5</v>
      </c>
    </row>
    <row r="17" spans="1:10" x14ac:dyDescent="0.2">
      <c r="A17" s="7" t="s">
        <v>310</v>
      </c>
      <c r="B17" t="s">
        <v>311</v>
      </c>
      <c r="C17" cm="1">
        <f t="array" ref="C17">SUMPRODUCT(--('key information'!$X$2:$X$220=$A17),
            --('key information'!$R$2:$R$220=1))</f>
        <v>2</v>
      </c>
      <c r="D17" cm="1">
        <f t="array" ref="D17">SUMPRODUCT(
  --('key information'!$X$2:$X$220=$A17),
  --('key information'!$L$2:$L$220=1),
  IFERROR(VALUE('key information'!$D$2:$D$220),0)
)</f>
        <v>1</v>
      </c>
      <c r="E17">
        <f>COUNTIF('key information'!X17:X235, codes!A17)</f>
        <v>2</v>
      </c>
      <c r="F17" t="s">
        <v>388</v>
      </c>
      <c r="G17" cm="1">
        <f t="array" ref="G17">SUMPRODUCT(
  --('key information'!$X$2:$X$220=$A17),
  --('key information'!$L$2:$L$220=1),
  --('key information'!$F$2:$F$220="['add']"),
  IFERROR(VALUE('key information'!$D$2:$D$220),0)
)</f>
        <v>1</v>
      </c>
      <c r="H17" cm="1">
        <f t="array" ref="H17">SUMPRODUCT(
  --('key information'!$X$2:$X$220=$A17),
  --('key information'!$L$2:$L$220=1),
  --('key information'!$F$2:$F$220="['remove']"),
  IFERROR(VALUE('key information'!$D$2:$D$220),0)
)</f>
        <v>0</v>
      </c>
      <c r="I17" cm="1">
        <f t="array" ref="I17">SUMPRODUCT(
  --('key information'!$X$2:$X$220=$A17),
  --('key information'!$L$2:$L$220=1),
  --('key information'!$F$2:$F$220="['migrate']"),
  IFERROR(VALUE('key information'!$D$2:$D$220),0)
)</f>
        <v>0</v>
      </c>
      <c r="J17">
        <f>COUNTIF('key information'!$X:$X, A17)</f>
        <v>2</v>
      </c>
    </row>
    <row r="18" spans="1:10" x14ac:dyDescent="0.2">
      <c r="A18" s="7" t="s">
        <v>312</v>
      </c>
      <c r="B18" t="s">
        <v>314</v>
      </c>
      <c r="C18" cm="1">
        <f t="array" ref="C18">SUMPRODUCT(--('key information'!$X$2:$X$220=$A18),
            --('key information'!$R$2:$R$220=1))</f>
        <v>1</v>
      </c>
      <c r="D18" cm="1">
        <f t="array" ref="D18">SUMPRODUCT(
  --('key information'!$X$2:$X$220=$A18),
  --('key information'!$L$2:$L$220=1),
  IFERROR(VALUE('key information'!$D$2:$D$220),0)
)</f>
        <v>1</v>
      </c>
      <c r="E18">
        <f>COUNTIF('key information'!X18:X236, codes!A18)</f>
        <v>1</v>
      </c>
      <c r="F18" t="s">
        <v>379</v>
      </c>
      <c r="G18" cm="1">
        <f t="array" ref="G18">SUMPRODUCT(
  --('key information'!$X$2:$X$220=$A18),
  --('key information'!$L$2:$L$220=1),
  --('key information'!$F$2:$F$220="['add']"),
  IFERROR(VALUE('key information'!$D$2:$D$220),0)
)</f>
        <v>1</v>
      </c>
      <c r="H18" cm="1">
        <f t="array" ref="H18">SUMPRODUCT(
  --('key information'!$X$2:$X$220=$A18),
  --('key information'!$L$2:$L$220=1),
  --('key information'!$F$2:$F$220="['remove']"),
  IFERROR(VALUE('key information'!$D$2:$D$220),0)
)</f>
        <v>0</v>
      </c>
      <c r="I18" cm="1">
        <f t="array" ref="I18">SUMPRODUCT(
  --('key information'!$X$2:$X$220=$A18),
  --('key information'!$L$2:$L$220=1),
  --('key information'!$F$2:$F$220="['migrate']"),
  IFERROR(VALUE('key information'!$D$2:$D$220),0)
)</f>
        <v>0</v>
      </c>
      <c r="J18">
        <f>COUNTIF('key information'!$X:$X, A18)</f>
        <v>1</v>
      </c>
    </row>
    <row r="19" spans="1:10" x14ac:dyDescent="0.2">
      <c r="A19" s="7" t="s">
        <v>313</v>
      </c>
      <c r="B19" t="s">
        <v>315</v>
      </c>
      <c r="C19" cm="1">
        <f t="array" ref="C19">SUMPRODUCT(--('key information'!$X$2:$X$220=$A19),
            --('key information'!$R$2:$R$220=1))</f>
        <v>2</v>
      </c>
      <c r="D19" cm="1">
        <f t="array" ref="D19">SUMPRODUCT(
  --('key information'!$X$2:$X$220=$A19),
  --('key information'!$L$2:$L$220=1),
  IFERROR(VALUE('key information'!$D$2:$D$220),0)
)</f>
        <v>1</v>
      </c>
      <c r="E19">
        <f>COUNTIF('key information'!X19:X237, codes!A19)</f>
        <v>2</v>
      </c>
      <c r="F19" t="s">
        <v>388</v>
      </c>
      <c r="G19" cm="1">
        <f t="array" ref="G19">SUMPRODUCT(
  --('key information'!$X$2:$X$220=$A19),
  --('key information'!$L$2:$L$220=1),
  --('key information'!$F$2:$F$220="['add']"),
  IFERROR(VALUE('key information'!$D$2:$D$220),0)
)</f>
        <v>1</v>
      </c>
      <c r="H19" cm="1">
        <f t="array" ref="H19">SUMPRODUCT(
  --('key information'!$X$2:$X$220=$A19),
  --('key information'!$L$2:$L$220=1),
  --('key information'!$F$2:$F$220="['remove']"),
  IFERROR(VALUE('key information'!$D$2:$D$220),0)
)</f>
        <v>0</v>
      </c>
      <c r="I19" cm="1">
        <f t="array" ref="I19">SUMPRODUCT(
  --('key information'!$X$2:$X$220=$A19),
  --('key information'!$L$2:$L$220=1),
  --('key information'!$F$2:$F$220="['migrate']"),
  IFERROR(VALUE('key information'!$D$2:$D$220),0)
)</f>
        <v>0</v>
      </c>
      <c r="J19">
        <f>COUNTIF('key information'!$X:$X, A19)</f>
        <v>2</v>
      </c>
    </row>
    <row r="20" spans="1:10" x14ac:dyDescent="0.2">
      <c r="A20" s="7" t="s">
        <v>316</v>
      </c>
      <c r="B20" t="s">
        <v>317</v>
      </c>
      <c r="C20" cm="1">
        <f t="array" ref="C20">SUMPRODUCT(--('key information'!$X$2:$X$220=$A20),
            --('key information'!$R$2:$R$220=1))</f>
        <v>2</v>
      </c>
      <c r="D20" cm="1">
        <f t="array" ref="D20">SUMPRODUCT(
  --('key information'!$X$2:$X$220=$A20),
  --('key information'!$L$2:$L$220=1),
  IFERROR(VALUE('key information'!$D$2:$D$220),0)
)</f>
        <v>5</v>
      </c>
      <c r="E20">
        <f>COUNTIF('key information'!X20:X238, codes!A20)</f>
        <v>2</v>
      </c>
      <c r="F20" t="s">
        <v>381</v>
      </c>
      <c r="G20" cm="1">
        <f t="array" ref="G20">SUMPRODUCT(
  --('key information'!$X$2:$X$220=$A20),
  --('key information'!$L$2:$L$220=1),
  --('key information'!$F$2:$F$220="['add']"),
  IFERROR(VALUE('key information'!$D$2:$D$220),0)
)</f>
        <v>5</v>
      </c>
      <c r="H20" cm="1">
        <f t="array" ref="H20">SUMPRODUCT(
  --('key information'!$X$2:$X$220=$A20),
  --('key information'!$L$2:$L$220=1),
  --('key information'!$F$2:$F$220="['remove']"),
  IFERROR(VALUE('key information'!$D$2:$D$220),0)
)</f>
        <v>0</v>
      </c>
      <c r="I20" cm="1">
        <f t="array" ref="I20">SUMPRODUCT(
  --('key information'!$X$2:$X$220=$A20),
  --('key information'!$L$2:$L$220=1),
  --('key information'!$F$2:$F$220="['migrate']"),
  IFERROR(VALUE('key information'!$D$2:$D$220),0)
)</f>
        <v>0</v>
      </c>
      <c r="J20">
        <f>COUNTIF('key information'!$X:$X, A20)</f>
        <v>2</v>
      </c>
    </row>
    <row r="21" spans="1:10" x14ac:dyDescent="0.2">
      <c r="A21" s="7" t="s">
        <v>318</v>
      </c>
      <c r="B21" t="s">
        <v>395</v>
      </c>
      <c r="C21" cm="1">
        <f t="array" ref="C21">SUMPRODUCT(--('key information'!$X$2:$X$220=$A21),
            --('key information'!$R$2:$R$220=1))</f>
        <v>3</v>
      </c>
      <c r="D21" cm="1">
        <f t="array" ref="D21">SUMPRODUCT(
  --('key information'!$X$2:$X$220=$A21),
  --('key information'!$L$2:$L$220=1),
  IFERROR(VALUE('key information'!$D$2:$D$220),0)
)</f>
        <v>1</v>
      </c>
      <c r="E21">
        <f>COUNTIF('key information'!X21:X239, codes!A21)</f>
        <v>3</v>
      </c>
      <c r="F21" t="s">
        <v>385</v>
      </c>
      <c r="G21" cm="1">
        <f t="array" ref="G21">SUMPRODUCT(
  --('key information'!$X$2:$X$220=$A21),
  --('key information'!$L$2:$L$220=1),
  --('key information'!$F$2:$F$220="['add']"),
  IFERROR(VALUE('key information'!$D$2:$D$220),0)
)</f>
        <v>1</v>
      </c>
      <c r="H21" cm="1">
        <f t="array" ref="H21">SUMPRODUCT(
  --('key information'!$X$2:$X$220=$A21),
  --('key information'!$L$2:$L$220=1),
  --('key information'!$F$2:$F$220="['remove']"),
  IFERROR(VALUE('key information'!$D$2:$D$220),0)
)</f>
        <v>0</v>
      </c>
      <c r="I21" cm="1">
        <f t="array" ref="I21">SUMPRODUCT(
  --('key information'!$X$2:$X$220=$A21),
  --('key information'!$L$2:$L$220=1),
  --('key information'!$F$2:$F$220="['migrate']"),
  IFERROR(VALUE('key information'!$D$2:$D$220),0)
)</f>
        <v>0</v>
      </c>
      <c r="J21">
        <f>COUNTIF('key information'!$X:$X, A21)</f>
        <v>3</v>
      </c>
    </row>
    <row r="22" spans="1:10" ht="14" customHeight="1" x14ac:dyDescent="0.2">
      <c r="A22" s="7" t="s">
        <v>319</v>
      </c>
      <c r="B22" t="s">
        <v>520</v>
      </c>
      <c r="C22" cm="1">
        <f t="array" ref="C22">SUMPRODUCT(--('key information'!$X$2:$X$220=$A22),
            --('key information'!$R$2:$R$220=1))</f>
        <v>9</v>
      </c>
      <c r="D22" cm="1">
        <f t="array" ref="D22">SUMPRODUCT(
  --('key information'!$X$2:$X$220=$A22),
  --('key information'!$L$2:$L$220=1),
  IFERROR(VALUE('key information'!$D$2:$D$220),0)
)</f>
        <v>13</v>
      </c>
      <c r="E22">
        <f>COUNTIF('key information'!X22:X240, codes!A22)</f>
        <v>9</v>
      </c>
      <c r="F22" t="s">
        <v>380</v>
      </c>
      <c r="G22" cm="1">
        <f t="array" ref="G22">SUMPRODUCT(
  --('key information'!$X$2:$X$220=$A22),
  --('key information'!$L$2:$L$220=1),
  --('key information'!$F$2:$F$220="['add']"),
  IFERROR(VALUE('key information'!$D$2:$D$220),0)
)</f>
        <v>13</v>
      </c>
      <c r="H22" cm="1">
        <f t="array" ref="H22">SUMPRODUCT(
  --('key information'!$X$2:$X$220=$A22),
  --('key information'!$L$2:$L$220=1),
  --('key information'!$F$2:$F$220="['remove']"),
  IFERROR(VALUE('key information'!$D$2:$D$220),0)
)</f>
        <v>0</v>
      </c>
      <c r="I22" cm="1">
        <f t="array" ref="I22">SUMPRODUCT(
  --('key information'!$X$2:$X$220=$A22),
  --('key information'!$L$2:$L$220=1),
  --('key information'!$F$2:$F$220="['migrate']"),
  IFERROR(VALUE('key information'!$D$2:$D$220),0)
)</f>
        <v>0</v>
      </c>
      <c r="J22">
        <f>COUNTIF('key information'!$X:$X, A22)</f>
        <v>9</v>
      </c>
    </row>
    <row r="23" spans="1:10" x14ac:dyDescent="0.2">
      <c r="A23" s="7" t="s">
        <v>320</v>
      </c>
      <c r="B23" t="s">
        <v>419</v>
      </c>
      <c r="C23" cm="1">
        <f t="array" ref="C23">SUMPRODUCT(--('key information'!$X$2:$X$220=$A23),
            --('key information'!$R$2:$R$220=1))</f>
        <v>3</v>
      </c>
      <c r="D23" cm="1">
        <f t="array" ref="D23">SUMPRODUCT(
  --('key information'!$X$2:$X$220=$A23),
  --('key information'!$L$2:$L$220=1),
  IFERROR(VALUE('key information'!$D$2:$D$220),0)
)</f>
        <v>5</v>
      </c>
      <c r="E23">
        <f>COUNTIF('key information'!X23:X241, codes!A23)</f>
        <v>3</v>
      </c>
      <c r="F23" t="s">
        <v>391</v>
      </c>
      <c r="G23" cm="1">
        <f t="array" ref="G23">SUMPRODUCT(
  --('key information'!$X$2:$X$220=$A23),
  --('key information'!$L$2:$L$220=1),
  --('key information'!$F$2:$F$220="['add']"),
  IFERROR(VALUE('key information'!$D$2:$D$220),0)
)</f>
        <v>3</v>
      </c>
      <c r="H23" cm="1">
        <f t="array" ref="H23">SUMPRODUCT(
  --('key information'!$X$2:$X$220=$A23),
  --('key information'!$L$2:$L$220=1),
  --('key information'!$F$2:$F$220="['remove']"),
  IFERROR(VALUE('key information'!$D$2:$D$220),0)
)</f>
        <v>0</v>
      </c>
      <c r="I23" cm="1">
        <f t="array" ref="I23">SUMPRODUCT(
  --('key information'!$X$2:$X$220=$A23),
  --('key information'!$L$2:$L$220=1),
  --('key information'!$F$2:$F$220="['migrate']"),
  IFERROR(VALUE('key information'!$D$2:$D$220),0)
)</f>
        <v>2</v>
      </c>
      <c r="J23">
        <f>COUNTIF('key information'!$X:$X, A23)</f>
        <v>3</v>
      </c>
    </row>
    <row r="24" spans="1:10" x14ac:dyDescent="0.2">
      <c r="A24" s="7" t="s">
        <v>321</v>
      </c>
      <c r="B24" t="s">
        <v>454</v>
      </c>
      <c r="C24" cm="1">
        <f t="array" ref="C24">SUMPRODUCT(--('key information'!$X$2:$X$220=$A24),
            --('key information'!$R$2:$R$220=1))</f>
        <v>5</v>
      </c>
      <c r="D24" cm="1">
        <f t="array" ref="D24">SUMPRODUCT(
  --('key information'!$X$2:$X$220=$A24),
  --('key information'!$L$2:$L$220=1),
  IFERROR(VALUE('key information'!$D$2:$D$220),0)
)</f>
        <v>40</v>
      </c>
      <c r="E24">
        <f>COUNTIF('key information'!X24:X242, codes!A24)</f>
        <v>5</v>
      </c>
      <c r="F24" t="s">
        <v>456</v>
      </c>
      <c r="G24" cm="1">
        <f t="array" ref="G24">SUMPRODUCT(
  --('key information'!$X$2:$X$220=$A24),
  --('key information'!$L$2:$L$220=1),
  --('key information'!$F$2:$F$220="['add']"),
  IFERROR(VALUE('key information'!$D$2:$D$220),0)
)</f>
        <v>40</v>
      </c>
      <c r="H24" cm="1">
        <f t="array" ref="H24">SUMPRODUCT(
  --('key information'!$X$2:$X$220=$A24),
  --('key information'!$L$2:$L$220=1),
  --('key information'!$F$2:$F$220="['remove']"),
  IFERROR(VALUE('key information'!$D$2:$D$220),0)
)</f>
        <v>0</v>
      </c>
      <c r="I24" cm="1">
        <f t="array" ref="I24">SUMPRODUCT(
  --('key information'!$X$2:$X$220=$A24),
  --('key information'!$L$2:$L$220=1),
  --('key information'!$F$2:$F$220="['migrate']"),
  IFERROR(VALUE('key information'!$D$2:$D$220),0)
)</f>
        <v>0</v>
      </c>
      <c r="J24">
        <f>COUNTIF('key information'!$X:$X, A24)</f>
        <v>5</v>
      </c>
    </row>
    <row r="25" spans="1:10" x14ac:dyDescent="0.2">
      <c r="A25" s="7" t="s">
        <v>323</v>
      </c>
      <c r="B25" t="s">
        <v>324</v>
      </c>
      <c r="C25" cm="1">
        <f t="array" ref="C25">SUMPRODUCT(--('key information'!$X$2:$X$220=$A25),
            --('key information'!$R$2:$R$220=1))</f>
        <v>3</v>
      </c>
      <c r="D25" cm="1">
        <f t="array" ref="D25">SUMPRODUCT(
  --('key information'!$X$2:$X$220=$A25),
  --('key information'!$L$2:$L$220=1),
  IFERROR(VALUE('key information'!$D$2:$D$220),0)
)</f>
        <v>3</v>
      </c>
      <c r="E25">
        <f>COUNTIF('key information'!X25:X243, codes!A25)</f>
        <v>3</v>
      </c>
      <c r="F25" t="s">
        <v>382</v>
      </c>
      <c r="G25" cm="1">
        <f t="array" ref="G25">SUMPRODUCT(
  --('key information'!$X$2:$X$220=$A25),
  --('key information'!$L$2:$L$220=1),
  --('key information'!$F$2:$F$220="['add']"),
  IFERROR(VALUE('key information'!$D$2:$D$220),0)
)</f>
        <v>3</v>
      </c>
      <c r="H25" cm="1">
        <f t="array" ref="H25">SUMPRODUCT(
  --('key information'!$X$2:$X$220=$A25),
  --('key information'!$L$2:$L$220=1),
  --('key information'!$F$2:$F$220="['remove']"),
  IFERROR(VALUE('key information'!$D$2:$D$220),0)
)</f>
        <v>0</v>
      </c>
      <c r="I25" cm="1">
        <f t="array" ref="I25">SUMPRODUCT(
  --('key information'!$X$2:$X$220=$A25),
  --('key information'!$L$2:$L$220=1),
  --('key information'!$F$2:$F$220="['migrate']"),
  IFERROR(VALUE('key information'!$D$2:$D$220),0)
)</f>
        <v>0</v>
      </c>
      <c r="J25">
        <f>COUNTIF('key information'!$X:$X, A25)</f>
        <v>3</v>
      </c>
    </row>
    <row r="26" spans="1:10" x14ac:dyDescent="0.2">
      <c r="A26" s="7" t="s">
        <v>325</v>
      </c>
      <c r="B26" t="s">
        <v>511</v>
      </c>
      <c r="C26" cm="1">
        <f t="array" ref="C26">SUMPRODUCT(--('key information'!$X$2:$X$220=$A26),
            --('key information'!$R$2:$R$220=1))</f>
        <v>1</v>
      </c>
      <c r="D26" cm="1">
        <f t="array" ref="D26">SUMPRODUCT(
  --('key information'!$X$2:$X$220=$A26),
  --('key information'!$L$2:$L$220=1),
  IFERROR(VALUE('key information'!$D$2:$D$220),0)
)</f>
        <v>1</v>
      </c>
      <c r="E26">
        <f>COUNTIF('key information'!X26:X244, codes!A26)</f>
        <v>1</v>
      </c>
      <c r="F26" t="s">
        <v>392</v>
      </c>
      <c r="G26" cm="1">
        <f t="array" ref="G26">SUMPRODUCT(
  --('key information'!$X$2:$X$220=$A26),
  --('key information'!$L$2:$L$220=1),
  --('key information'!$F$2:$F$220="['add']"),
  IFERROR(VALUE('key information'!$D$2:$D$220),0)
)</f>
        <v>1</v>
      </c>
      <c r="H26" cm="1">
        <f t="array" ref="H26">SUMPRODUCT(
  --('key information'!$X$2:$X$220=$A26),
  --('key information'!$L$2:$L$220=1),
  --('key information'!$F$2:$F$220="['remove']"),
  IFERROR(VALUE('key information'!$D$2:$D$220),0)
)</f>
        <v>0</v>
      </c>
      <c r="I26" cm="1">
        <f t="array" ref="I26">SUMPRODUCT(
  --('key information'!$X$2:$X$220=$A26),
  --('key information'!$L$2:$L$220=1),
  --('key information'!$F$2:$F$220="['migrate']"),
  IFERROR(VALUE('key information'!$D$2:$D$220),0)
)</f>
        <v>0</v>
      </c>
      <c r="J26">
        <f>COUNTIF('key information'!$X:$X, A26)</f>
        <v>1</v>
      </c>
    </row>
    <row r="27" spans="1:10" x14ac:dyDescent="0.2">
      <c r="A27" s="7" t="s">
        <v>326</v>
      </c>
      <c r="B27" t="s">
        <v>327</v>
      </c>
      <c r="C27" cm="1">
        <f t="array" ref="C27">SUMPRODUCT(--('key information'!$X$2:$X$220=$A27),
            --('key information'!$R$2:$R$220=1))</f>
        <v>8</v>
      </c>
      <c r="D27" cm="1">
        <f t="array" ref="D27">SUMPRODUCT(
  --('key information'!$X$2:$X$220=$A27),
  --('key information'!$L$2:$L$220=1),
  IFERROR(VALUE('key information'!$D$2:$D$220),0)
)</f>
        <v>4</v>
      </c>
      <c r="E27">
        <f>COUNTIF('key information'!X27:X245, codes!A27)</f>
        <v>8</v>
      </c>
      <c r="F27" t="s">
        <v>393</v>
      </c>
      <c r="G27" cm="1">
        <f t="array" ref="G27">SUMPRODUCT(
  --('key information'!$X$2:$X$220=$A27),
  --('key information'!$L$2:$L$220=1),
  --('key information'!$F$2:$F$220="['add']"),
  IFERROR(VALUE('key information'!$D$2:$D$220),0)
)</f>
        <v>4</v>
      </c>
      <c r="H27" cm="1">
        <f t="array" ref="H27">SUMPRODUCT(
  --('key information'!$X$2:$X$220=$A27),
  --('key information'!$L$2:$L$220=1),
  --('key information'!$F$2:$F$220="['remove']"),
  IFERROR(VALUE('key information'!$D$2:$D$220),0)
)</f>
        <v>0</v>
      </c>
      <c r="I27" cm="1">
        <f t="array" ref="I27">SUMPRODUCT(
  --('key information'!$X$2:$X$220=$A27),
  --('key information'!$L$2:$L$220=1),
  --('key information'!$F$2:$F$220="['migrate']"),
  IFERROR(VALUE('key information'!$D$2:$D$220),0)
)</f>
        <v>0</v>
      </c>
      <c r="J27">
        <f>COUNTIF('key information'!$X:$X, A27)</f>
        <v>8</v>
      </c>
    </row>
    <row r="28" spans="1:10" x14ac:dyDescent="0.2">
      <c r="A28" s="7" t="s">
        <v>328</v>
      </c>
      <c r="B28" t="s">
        <v>329</v>
      </c>
      <c r="C28" cm="1">
        <f t="array" ref="C28">SUMPRODUCT(--('key information'!$X$2:$X$220=$A28),
            --('key information'!$R$2:$R$220=1))</f>
        <v>2</v>
      </c>
      <c r="D28" cm="1">
        <f t="array" ref="D28">SUMPRODUCT(
  --('key information'!$X$2:$X$220=$A28),
  --('key information'!$L$2:$L$220=1),
  IFERROR(VALUE('key information'!$D$2:$D$220),0)
)</f>
        <v>1</v>
      </c>
      <c r="E28">
        <f>COUNTIF('key information'!X28:X246, codes!A28)</f>
        <v>2</v>
      </c>
      <c r="F28" t="s">
        <v>393</v>
      </c>
      <c r="G28" cm="1">
        <f t="array" ref="G28">SUMPRODUCT(
  --('key information'!$X$2:$X$220=$A28),
  --('key information'!$L$2:$L$220=1),
  --('key information'!$F$2:$F$220="['add']"),
  IFERROR(VALUE('key information'!$D$2:$D$220),0)
)</f>
        <v>1</v>
      </c>
      <c r="H28" cm="1">
        <f t="array" ref="H28">SUMPRODUCT(
  --('key information'!$X$2:$X$220=$A28),
  --('key information'!$L$2:$L$220=1),
  --('key information'!$F$2:$F$220="['remove']"),
  IFERROR(VALUE('key information'!$D$2:$D$220),0)
)</f>
        <v>0</v>
      </c>
      <c r="I28" cm="1">
        <f t="array" ref="I28">SUMPRODUCT(
  --('key information'!$X$2:$X$220=$A28),
  --('key information'!$L$2:$L$220=1),
  --('key information'!$F$2:$F$220="['migrate']"),
  IFERROR(VALUE('key information'!$D$2:$D$220),0)
)</f>
        <v>0</v>
      </c>
      <c r="J28">
        <f>COUNTIF('key information'!$X:$X, A28)</f>
        <v>2</v>
      </c>
    </row>
    <row r="29" spans="1:10" x14ac:dyDescent="0.2">
      <c r="A29" s="7" t="s">
        <v>330</v>
      </c>
      <c r="B29" t="s">
        <v>331</v>
      </c>
      <c r="C29" cm="1">
        <f t="array" ref="C29">SUMPRODUCT(--('key information'!$X$2:$X$220=$A29),
            --('key information'!$R$2:$R$220=1))</f>
        <v>3</v>
      </c>
      <c r="D29" cm="1">
        <f t="array" ref="D29">SUMPRODUCT(
  --('key information'!$X$2:$X$220=$A29),
  --('key information'!$L$2:$L$220=1),
  IFERROR(VALUE('key information'!$D$2:$D$220),0)
)</f>
        <v>1</v>
      </c>
      <c r="E29">
        <f>COUNTIF('key information'!X29:X247, codes!A29)</f>
        <v>3</v>
      </c>
      <c r="F29" t="s">
        <v>388</v>
      </c>
      <c r="G29" cm="1">
        <f t="array" ref="G29">SUMPRODUCT(
  --('key information'!$X$2:$X$220=$A29),
  --('key information'!$L$2:$L$220=1),
  --('key information'!$F$2:$F$220="['add']"),
  IFERROR(VALUE('key information'!$D$2:$D$220),0)
)</f>
        <v>1</v>
      </c>
      <c r="H29" cm="1">
        <f t="array" ref="H29">SUMPRODUCT(
  --('key information'!$X$2:$X$220=$A29),
  --('key information'!$L$2:$L$220=1),
  --('key information'!$F$2:$F$220="['remove']"),
  IFERROR(VALUE('key information'!$D$2:$D$220),0)
)</f>
        <v>0</v>
      </c>
      <c r="I29" cm="1">
        <f t="array" ref="I29">SUMPRODUCT(
  --('key information'!$X$2:$X$220=$A29),
  --('key information'!$L$2:$L$220=1),
  --('key information'!$F$2:$F$220="['migrate']"),
  IFERROR(VALUE('key information'!$D$2:$D$220),0)
)</f>
        <v>0</v>
      </c>
      <c r="J29">
        <f>COUNTIF('key information'!$X:$X, A29)</f>
        <v>3</v>
      </c>
    </row>
    <row r="30" spans="1:10" x14ac:dyDescent="0.2">
      <c r="A30" s="7" t="s">
        <v>332</v>
      </c>
      <c r="B30" t="s">
        <v>334</v>
      </c>
      <c r="C30" cm="1">
        <f t="array" ref="C30">SUMPRODUCT(--('key information'!$X$2:$X$220=$A30),
            --('key information'!$R$2:$R$220=1))</f>
        <v>2</v>
      </c>
      <c r="D30" cm="1">
        <f t="array" ref="D30">SUMPRODUCT(
  --('key information'!$X$2:$X$220=$A30),
  --('key information'!$L$2:$L$220=1),
  IFERROR(VALUE('key information'!$D$2:$D$220),0)
)</f>
        <v>1</v>
      </c>
      <c r="E30">
        <f>COUNTIF('key information'!X30:X248, codes!A30)</f>
        <v>2</v>
      </c>
      <c r="F30" t="s">
        <v>381</v>
      </c>
      <c r="G30" cm="1">
        <f t="array" ref="G30">SUMPRODUCT(
  --('key information'!$X$2:$X$220=$A30),
  --('key information'!$L$2:$L$220=1),
  --('key information'!$F$2:$F$220="['add']"),
  IFERROR(VALUE('key information'!$D$2:$D$220),0)
)</f>
        <v>1</v>
      </c>
      <c r="H30" cm="1">
        <f t="array" ref="H30">SUMPRODUCT(
  --('key information'!$X$2:$X$220=$A30),
  --('key information'!$L$2:$L$220=1),
  --('key information'!$F$2:$F$220="['remove']"),
  IFERROR(VALUE('key information'!$D$2:$D$220),0)
)</f>
        <v>0</v>
      </c>
      <c r="I30" cm="1">
        <f t="array" ref="I30">SUMPRODUCT(
  --('key information'!$X$2:$X$220=$A30),
  --('key information'!$L$2:$L$220=1),
  --('key information'!$F$2:$F$220="['migrate']"),
  IFERROR(VALUE('key information'!$D$2:$D$220),0)
)</f>
        <v>0</v>
      </c>
      <c r="J30">
        <f>COUNTIF('key information'!$X:$X, A30)</f>
        <v>2</v>
      </c>
    </row>
    <row r="31" spans="1:10" x14ac:dyDescent="0.2">
      <c r="A31" s="7" t="s">
        <v>333</v>
      </c>
      <c r="B31" t="s">
        <v>354</v>
      </c>
      <c r="C31" cm="1">
        <f t="array" ref="C31">SUMPRODUCT(--('key information'!$X$2:$X$220=$A31),
            --('key information'!$R$2:$R$220=1))</f>
        <v>5</v>
      </c>
      <c r="D31" cm="1">
        <f t="array" ref="D31">SUMPRODUCT(
  --('key information'!$X$2:$X$220=$A31),
  --('key information'!$L$2:$L$220=1),
  IFERROR(VALUE('key information'!$D$2:$D$220),0)
)</f>
        <v>2</v>
      </c>
      <c r="E31">
        <f>COUNTIF('key information'!X31:X249, codes!A31)</f>
        <v>5</v>
      </c>
      <c r="F31" t="s">
        <v>388</v>
      </c>
      <c r="G31" cm="1">
        <f t="array" ref="G31">SUMPRODUCT(
  --('key information'!$X$2:$X$220=$A31),
  --('key information'!$L$2:$L$220=1),
  --('key information'!$F$2:$F$220="['add']"),
  IFERROR(VALUE('key information'!$D$2:$D$220),0)
)</f>
        <v>2</v>
      </c>
      <c r="H31" cm="1">
        <f t="array" ref="H31">SUMPRODUCT(
  --('key information'!$X$2:$X$220=$A31),
  --('key information'!$L$2:$L$220=1),
  --('key information'!$F$2:$F$220="['remove']"),
  IFERROR(VALUE('key information'!$D$2:$D$220),0)
)</f>
        <v>0</v>
      </c>
      <c r="I31" cm="1">
        <f t="array" ref="I31">SUMPRODUCT(
  --('key information'!$X$2:$X$220=$A31),
  --('key information'!$L$2:$L$220=1),
  --('key information'!$F$2:$F$220="['migrate']"),
  IFERROR(VALUE('key information'!$D$2:$D$220),0)
)</f>
        <v>0</v>
      </c>
      <c r="J31">
        <f>COUNTIF('key information'!$X:$X, A31)</f>
        <v>5</v>
      </c>
    </row>
    <row r="32" spans="1:10" x14ac:dyDescent="0.2">
      <c r="A32" s="7" t="s">
        <v>335</v>
      </c>
      <c r="B32" t="s">
        <v>336</v>
      </c>
      <c r="C32" cm="1">
        <f t="array" ref="C32">SUMPRODUCT(--('key information'!$X$2:$X$220=$A32),
            --('key information'!$R$2:$R$220=1))</f>
        <v>9</v>
      </c>
      <c r="D32" cm="1">
        <f t="array" ref="D32">SUMPRODUCT(
  --('key information'!$X$2:$X$220=$A32),
  --('key information'!$L$2:$L$220=1),
  IFERROR(VALUE('key information'!$D$2:$D$220),0)
)</f>
        <v>45</v>
      </c>
      <c r="E32">
        <f>COUNTIF('key information'!X32:X250, codes!A32)</f>
        <v>11</v>
      </c>
      <c r="F32" t="s">
        <v>381</v>
      </c>
      <c r="G32" cm="1">
        <f t="array" ref="G32">SUMPRODUCT(
  --('key information'!$X$2:$X$220=$A32),
  --('key information'!$L$2:$L$220=1),
  --('key information'!$F$2:$F$220="['add']"),
  IFERROR(VALUE('key information'!$D$2:$D$220),0)
)</f>
        <v>45</v>
      </c>
      <c r="H32" cm="1">
        <f t="array" ref="H32">SUMPRODUCT(
  --('key information'!$X$2:$X$220=$A32),
  --('key information'!$L$2:$L$220=1),
  --('key information'!$F$2:$F$220="['remove']"),
  IFERROR(VALUE('key information'!$D$2:$D$220),0)
)</f>
        <v>0</v>
      </c>
      <c r="I32" cm="1">
        <f t="array" ref="I32">SUMPRODUCT(
  --('key information'!$X$2:$X$220=$A32),
  --('key information'!$L$2:$L$220=1),
  --('key information'!$F$2:$F$220="['migrate']"),
  IFERROR(VALUE('key information'!$D$2:$D$220),0)
)</f>
        <v>0</v>
      </c>
      <c r="J32">
        <f>COUNTIF('key information'!$X:$X, A32)</f>
        <v>11</v>
      </c>
    </row>
    <row r="33" spans="1:10" x14ac:dyDescent="0.2">
      <c r="A33" s="7" t="s">
        <v>337</v>
      </c>
      <c r="B33" t="s">
        <v>338</v>
      </c>
      <c r="C33" cm="1">
        <f t="array" ref="C33">SUMPRODUCT(--('key information'!$X$2:$X$220=$A33),
            --('key information'!$R$2:$R$220=1))</f>
        <v>1</v>
      </c>
      <c r="D33" cm="1">
        <f t="array" ref="D33">SUMPRODUCT(
  --('key information'!$X$2:$X$220=$A33),
  --('key information'!$L$2:$L$220=1),
  IFERROR(VALUE('key information'!$D$2:$D$220),0)
)</f>
        <v>2</v>
      </c>
      <c r="E33">
        <f>COUNTIF('key information'!X33:X251, codes!A33)</f>
        <v>1</v>
      </c>
      <c r="F33" t="s">
        <v>383</v>
      </c>
      <c r="G33" cm="1">
        <f t="array" ref="G33">SUMPRODUCT(
  --('key information'!$X$2:$X$220=$A33),
  --('key information'!$L$2:$L$220=1),
  --('key information'!$F$2:$F$220="['add']"),
  IFERROR(VALUE('key information'!$D$2:$D$220),0)
)</f>
        <v>2</v>
      </c>
      <c r="H33" cm="1">
        <f t="array" ref="H33">SUMPRODUCT(
  --('key information'!$X$2:$X$220=$A33),
  --('key information'!$L$2:$L$220=1),
  --('key information'!$F$2:$F$220="['remove']"),
  IFERROR(VALUE('key information'!$D$2:$D$220),0)
)</f>
        <v>0</v>
      </c>
      <c r="I33" cm="1">
        <f t="array" ref="I33">SUMPRODUCT(
  --('key information'!$X$2:$X$220=$A33),
  --('key information'!$L$2:$L$220=1),
  --('key information'!$F$2:$F$220="['migrate']"),
  IFERROR(VALUE('key information'!$D$2:$D$220),0)
)</f>
        <v>0</v>
      </c>
      <c r="J33">
        <f>COUNTIF('key information'!$X:$X, A33)</f>
        <v>1</v>
      </c>
    </row>
    <row r="34" spans="1:10" x14ac:dyDescent="0.2">
      <c r="A34" s="7" t="s">
        <v>339</v>
      </c>
      <c r="B34" t="s">
        <v>525</v>
      </c>
      <c r="C34" cm="1">
        <f t="array" ref="C34">SUMPRODUCT(--('key information'!$X$2:$X$220=$A34),
            --('key information'!$R$2:$R$220=1))</f>
        <v>2</v>
      </c>
      <c r="D34" cm="1">
        <f t="array" ref="D34">SUMPRODUCT(
  --('key information'!$X$2:$X$220=$A34),
  --('key information'!$L$2:$L$220=1),
  IFERROR(VALUE('key information'!$D$2:$D$220),0)
)</f>
        <v>10</v>
      </c>
      <c r="E34">
        <f>COUNTIF('key information'!X34:X252, codes!A34)</f>
        <v>2</v>
      </c>
      <c r="F34" t="s">
        <v>379</v>
      </c>
      <c r="G34" cm="1">
        <f t="array" ref="G34">SUMPRODUCT(
  --('key information'!$X$2:$X$220=$A34),
  --('key information'!$L$2:$L$220=1),
  --('key information'!$F$2:$F$220="['add']"),
  IFERROR(VALUE('key information'!$D$2:$D$220),0)
)</f>
        <v>10</v>
      </c>
      <c r="H34" cm="1">
        <f t="array" ref="H34">SUMPRODUCT(
  --('key information'!$X$2:$X$220=$A34),
  --('key information'!$L$2:$L$220=1),
  --('key information'!$F$2:$F$220="['remove']"),
  IFERROR(VALUE('key information'!$D$2:$D$220),0)
)</f>
        <v>0</v>
      </c>
      <c r="I34" cm="1">
        <f t="array" ref="I34">SUMPRODUCT(
  --('key information'!$X$2:$X$220=$A34),
  --('key information'!$L$2:$L$220=1),
  --('key information'!$F$2:$F$220="['migrate']"),
  IFERROR(VALUE('key information'!$D$2:$D$220),0)
)</f>
        <v>0</v>
      </c>
      <c r="J34">
        <f>COUNTIF('key information'!$X:$X, A34)</f>
        <v>2</v>
      </c>
    </row>
    <row r="35" spans="1:10" x14ac:dyDescent="0.2">
      <c r="A35" s="7" t="s">
        <v>341</v>
      </c>
      <c r="B35" t="s">
        <v>340</v>
      </c>
      <c r="C35" cm="1">
        <f t="array" ref="C35">SUMPRODUCT(--('key information'!$X$2:$X$220=$A35),
            --('key information'!$R$2:$R$220=1))</f>
        <v>4</v>
      </c>
      <c r="D35" cm="1">
        <f t="array" ref="D35">SUMPRODUCT(
  --('key information'!$X$2:$X$220=$A35),
  --('key information'!$L$2:$L$220=1),
  IFERROR(VALUE('key information'!$D$2:$D$220),0)
)</f>
        <v>3</v>
      </c>
      <c r="E35">
        <f>COUNTIF('key information'!X35:X253, codes!A35)</f>
        <v>4</v>
      </c>
      <c r="F35" t="s">
        <v>379</v>
      </c>
      <c r="G35" cm="1">
        <f t="array" ref="G35">SUMPRODUCT(
  --('key information'!$X$2:$X$220=$A35),
  --('key information'!$L$2:$L$220=1),
  --('key information'!$F$2:$F$220="['add']"),
  IFERROR(VALUE('key information'!$D$2:$D$220),0)
)</f>
        <v>3</v>
      </c>
      <c r="H35" cm="1">
        <f t="array" ref="H35">SUMPRODUCT(
  --('key information'!$X$2:$X$220=$A35),
  --('key information'!$L$2:$L$220=1),
  --('key information'!$F$2:$F$220="['remove']"),
  IFERROR(VALUE('key information'!$D$2:$D$220),0)
)</f>
        <v>0</v>
      </c>
      <c r="I35" cm="1">
        <f t="array" ref="I35">SUMPRODUCT(
  --('key information'!$X$2:$X$220=$A35),
  --('key information'!$L$2:$L$220=1),
  --('key information'!$F$2:$F$220="['migrate']"),
  IFERROR(VALUE('key information'!$D$2:$D$220),0)
)</f>
        <v>0</v>
      </c>
      <c r="J35">
        <f>COUNTIF('key information'!$X:$X, A35)</f>
        <v>4</v>
      </c>
    </row>
    <row r="36" spans="1:10" x14ac:dyDescent="0.2">
      <c r="A36" s="7" t="s">
        <v>342</v>
      </c>
      <c r="B36" t="s">
        <v>343</v>
      </c>
      <c r="C36" cm="1">
        <f t="array" ref="C36">SUMPRODUCT(--('key information'!$X$2:$X$220=$A36),
            --('key information'!$R$2:$R$220=1))</f>
        <v>3</v>
      </c>
      <c r="D36" cm="1">
        <f t="array" ref="D36">SUMPRODUCT(
  --('key information'!$X$2:$X$220=$A36),
  --('key information'!$L$2:$L$220=1),
  IFERROR(VALUE('key information'!$D$2:$D$220),0)
)</f>
        <v>6</v>
      </c>
      <c r="E36">
        <f>COUNTIF('key information'!X36:X254, codes!A36)</f>
        <v>3</v>
      </c>
      <c r="F36" t="s">
        <v>448</v>
      </c>
      <c r="G36" cm="1">
        <f t="array" ref="G36">SUMPRODUCT(
  --('key information'!$X$2:$X$220=$A36),
  --('key information'!$L$2:$L$220=1),
  --('key information'!$F$2:$F$220="['add']"),
  IFERROR(VALUE('key information'!$D$2:$D$220),0)
)</f>
        <v>0</v>
      </c>
      <c r="H36" cm="1">
        <f t="array" ref="H36">SUMPRODUCT(
  --('key information'!$X$2:$X$220=$A36),
  --('key information'!$L$2:$L$220=1),
  --('key information'!$F$2:$F$220="['remove']"),
  IFERROR(VALUE('key information'!$D$2:$D$220),0)
)</f>
        <v>0</v>
      </c>
      <c r="I36" cm="1">
        <f t="array" ref="I36">SUMPRODUCT(
  --('key information'!$X$2:$X$220=$A36),
  --('key information'!$L$2:$L$220=1),
  --('key information'!$F$2:$F$220="['migrate']"),
  IFERROR(VALUE('key information'!$D$2:$D$220),0)
)</f>
        <v>6</v>
      </c>
      <c r="J36">
        <f>COUNTIF('key information'!$X:$X, A36)</f>
        <v>3</v>
      </c>
    </row>
    <row r="37" spans="1:10" x14ac:dyDescent="0.2">
      <c r="A37" s="7" t="s">
        <v>344</v>
      </c>
      <c r="B37" t="s">
        <v>345</v>
      </c>
      <c r="C37" cm="1">
        <f t="array" ref="C37">SUMPRODUCT(--('key information'!$X$2:$X$220=$A37),
            --('key information'!$R$2:$R$220=1))</f>
        <v>3</v>
      </c>
      <c r="D37" cm="1">
        <f t="array" ref="D37">SUMPRODUCT(
  --('key information'!$X$2:$X$220=$A37),
  --('key information'!$L$2:$L$220=1),
  IFERROR(VALUE('key information'!$D$2:$D$220),0)
)</f>
        <v>2</v>
      </c>
      <c r="E37">
        <f>COUNTIF('key information'!X37:X255, codes!A37)</f>
        <v>3</v>
      </c>
      <c r="F37" t="s">
        <v>381</v>
      </c>
      <c r="G37" cm="1">
        <f t="array" ref="G37">SUMPRODUCT(
  --('key information'!$X$2:$X$220=$A37),
  --('key information'!$L$2:$L$220=1),
  --('key information'!$F$2:$F$220="['add']"),
  IFERROR(VALUE('key information'!$D$2:$D$220),0)
)</f>
        <v>2</v>
      </c>
      <c r="H37" cm="1">
        <f t="array" ref="H37">SUMPRODUCT(
  --('key information'!$X$2:$X$220=$A37),
  --('key information'!$L$2:$L$220=1),
  --('key information'!$F$2:$F$220="['remove']"),
  IFERROR(VALUE('key information'!$D$2:$D$220),0)
)</f>
        <v>0</v>
      </c>
      <c r="I37" cm="1">
        <f t="array" ref="I37">SUMPRODUCT(
  --('key information'!$X$2:$X$220=$A37),
  --('key information'!$L$2:$L$220=1),
  --('key information'!$F$2:$F$220="['migrate']"),
  IFERROR(VALUE('key information'!$D$2:$D$220),0)
)</f>
        <v>0</v>
      </c>
      <c r="J37">
        <f>COUNTIF('key information'!$X:$X, A37)</f>
        <v>3</v>
      </c>
    </row>
    <row r="38" spans="1:10" x14ac:dyDescent="0.2">
      <c r="A38" s="7" t="s">
        <v>346</v>
      </c>
      <c r="B38" t="s">
        <v>516</v>
      </c>
      <c r="C38" cm="1">
        <f t="array" ref="C38">SUMPRODUCT(--('key information'!$X$2:$X$220=$A38),
            --('key information'!$R$2:$R$220=1))</f>
        <v>4</v>
      </c>
      <c r="D38" cm="1">
        <f t="array" ref="D38">SUMPRODUCT(
  --('key information'!$X$2:$X$220=$A38),
  --('key information'!$L$2:$L$220=1),
  IFERROR(VALUE('key information'!$D$2:$D$220),0)
)</f>
        <v>9</v>
      </c>
      <c r="E38">
        <f>COUNTIF('key information'!X38:X256, codes!A38)</f>
        <v>4</v>
      </c>
      <c r="F38" t="s">
        <v>394</v>
      </c>
      <c r="G38" cm="1">
        <f t="array" ref="G38">SUMPRODUCT(
  --('key information'!$X$2:$X$220=$A38),
  --('key information'!$L$2:$L$220=1),
  --('key information'!$F$2:$F$220="['add']"),
  IFERROR(VALUE('key information'!$D$2:$D$220),0)
)</f>
        <v>0</v>
      </c>
      <c r="H38" cm="1">
        <f t="array" ref="H38">SUMPRODUCT(
  --('key information'!$X$2:$X$220=$A38),
  --('key information'!$L$2:$L$220=1),
  --('key information'!$F$2:$F$220="['remove']"),
  IFERROR(VALUE('key information'!$D$2:$D$220),0)
)</f>
        <v>9</v>
      </c>
      <c r="I38" cm="1">
        <f t="array" ref="I38">SUMPRODUCT(
  --('key information'!$X$2:$X$220=$A38),
  --('key information'!$L$2:$L$220=1),
  --('key information'!$F$2:$F$220="['migrate']"),
  IFERROR(VALUE('key information'!$D$2:$D$220),0)
)</f>
        <v>0</v>
      </c>
      <c r="J38">
        <f>COUNTIF('key information'!$X:$X, A38)</f>
        <v>4</v>
      </c>
    </row>
    <row r="39" spans="1:10" x14ac:dyDescent="0.2">
      <c r="A39" s="7" t="s">
        <v>347</v>
      </c>
      <c r="B39" t="s">
        <v>348</v>
      </c>
      <c r="C39" cm="1">
        <f t="array" ref="C39">SUMPRODUCT(--('key information'!$X$2:$X$220=$A39),
            --('key information'!$R$2:$R$220=1))</f>
        <v>1</v>
      </c>
      <c r="D39" cm="1">
        <f t="array" ref="D39">SUMPRODUCT(
  --('key information'!$X$2:$X$220=$A39),
  --('key information'!$L$2:$L$220=1),
  IFERROR(VALUE('key information'!$D$2:$D$220),0)
)</f>
        <v>1</v>
      </c>
      <c r="E39">
        <f>COUNTIF('key information'!X39:X257, codes!A39)</f>
        <v>1</v>
      </c>
      <c r="F39" t="s">
        <v>382</v>
      </c>
      <c r="G39" cm="1">
        <f t="array" ref="G39">SUMPRODUCT(
  --('key information'!$X$2:$X$220=$A39),
  --('key information'!$L$2:$L$220=1),
  --('key information'!$F$2:$F$220="['add']"),
  IFERROR(VALUE('key information'!$D$2:$D$220),0)
)</f>
        <v>1</v>
      </c>
      <c r="H39" cm="1">
        <f t="array" ref="H39">SUMPRODUCT(
  --('key information'!$X$2:$X$220=$A39),
  --('key information'!$L$2:$L$220=1),
  --('key information'!$F$2:$F$220="['remove']"),
  IFERROR(VALUE('key information'!$D$2:$D$220),0)
)</f>
        <v>0</v>
      </c>
      <c r="I39" cm="1">
        <f t="array" ref="I39">SUMPRODUCT(
  --('key information'!$X$2:$X$220=$A39),
  --('key information'!$L$2:$L$220=1),
  --('key information'!$F$2:$F$220="['migrate']"),
  IFERROR(VALUE('key information'!$D$2:$D$220),0)
)</f>
        <v>0</v>
      </c>
      <c r="J39">
        <f>COUNTIF('key information'!$X:$X, A39)</f>
        <v>1</v>
      </c>
    </row>
    <row r="40" spans="1:10" x14ac:dyDescent="0.2">
      <c r="A40" s="7" t="s">
        <v>349</v>
      </c>
      <c r="B40" t="s">
        <v>350</v>
      </c>
      <c r="C40" cm="1">
        <f t="array" ref="C40">SUMPRODUCT(--('key information'!$X$2:$X$220=$A40),
            --('key information'!$R$2:$R$220=1))</f>
        <v>4</v>
      </c>
      <c r="D40" cm="1">
        <f t="array" ref="D40">SUMPRODUCT(
  --('key information'!$X$2:$X$220=$A40),
  --('key information'!$L$2:$L$220=1),
  IFERROR(VALUE('key information'!$D$2:$D$220),0)
)</f>
        <v>5</v>
      </c>
      <c r="E40">
        <f>COUNTIF('key information'!X40:X258, codes!A40)</f>
        <v>4</v>
      </c>
      <c r="F40" t="s">
        <v>393</v>
      </c>
      <c r="G40" cm="1">
        <f t="array" ref="G40">SUMPRODUCT(
  --('key information'!$X$2:$X$220=$A40),
  --('key information'!$L$2:$L$220=1),
  --('key information'!$F$2:$F$220="['add']"),
  IFERROR(VALUE('key information'!$D$2:$D$220),0)
)</f>
        <v>5</v>
      </c>
      <c r="H40" cm="1">
        <f t="array" ref="H40">SUMPRODUCT(
  --('key information'!$X$2:$X$220=$A40),
  --('key information'!$L$2:$L$220=1),
  --('key information'!$F$2:$F$220="['remove']"),
  IFERROR(VALUE('key information'!$D$2:$D$220),0)
)</f>
        <v>0</v>
      </c>
      <c r="I40" cm="1">
        <f t="array" ref="I40">SUMPRODUCT(
  --('key information'!$X$2:$X$220=$A40),
  --('key information'!$L$2:$L$220=1),
  --('key information'!$F$2:$F$220="['migrate']"),
  IFERROR(VALUE('key information'!$D$2:$D$220),0)
)</f>
        <v>0</v>
      </c>
      <c r="J40">
        <f>COUNTIF('key information'!$X:$X, A40)</f>
        <v>4</v>
      </c>
    </row>
    <row r="41" spans="1:10" x14ac:dyDescent="0.2">
      <c r="A41" s="7" t="s">
        <v>351</v>
      </c>
      <c r="B41" t="s">
        <v>374</v>
      </c>
      <c r="C41" cm="1">
        <f t="array" ref="C41">SUMPRODUCT(--('key information'!$X$2:$X$220=$A41),
            --('key information'!$R$2:$R$220=1))</f>
        <v>6</v>
      </c>
      <c r="D41" cm="1">
        <f t="array" ref="D41">SUMPRODUCT(
  --('key information'!$X$2:$X$220=$A41),
  --('key information'!$L$2:$L$220=1),
  IFERROR(VALUE('key information'!$D$2:$D$220),0)
)</f>
        <v>3</v>
      </c>
      <c r="E41">
        <f>COUNTIF('key information'!X41:X259, codes!A41)</f>
        <v>6</v>
      </c>
      <c r="F41" t="s">
        <v>394</v>
      </c>
      <c r="G41" cm="1">
        <f t="array" ref="G41">SUMPRODUCT(
  --('key information'!$X$2:$X$220=$A41),
  --('key information'!$L$2:$L$220=1),
  --('key information'!$F$2:$F$220="['add']"),
  IFERROR(VALUE('key information'!$D$2:$D$220),0)
)</f>
        <v>0</v>
      </c>
      <c r="H41" cm="1">
        <f t="array" ref="H41">SUMPRODUCT(
  --('key information'!$X$2:$X$220=$A41),
  --('key information'!$L$2:$L$220=1),
  --('key information'!$F$2:$F$220="['remove']"),
  IFERROR(VALUE('key information'!$D$2:$D$220),0)
)</f>
        <v>3</v>
      </c>
      <c r="I41" cm="1">
        <f t="array" ref="I41">SUMPRODUCT(
  --('key information'!$X$2:$X$220=$A41),
  --('key information'!$L$2:$L$220=1),
  --('key information'!$F$2:$F$220="['migrate']"),
  IFERROR(VALUE('key information'!$D$2:$D$220),0)
)</f>
        <v>0</v>
      </c>
      <c r="J41">
        <f>COUNTIF('key information'!$X:$X, A41)</f>
        <v>6</v>
      </c>
    </row>
    <row r="42" spans="1:10" x14ac:dyDescent="0.2">
      <c r="A42" s="7" t="s">
        <v>352</v>
      </c>
      <c r="B42" t="s">
        <v>353</v>
      </c>
      <c r="C42" cm="1">
        <f t="array" ref="C42">SUMPRODUCT(--('key information'!$X$2:$X$220=$A42),
            --('key information'!$R$2:$R$220=1))</f>
        <v>2</v>
      </c>
      <c r="D42" cm="1">
        <f t="array" ref="D42">SUMPRODUCT(
  --('key information'!$X$2:$X$220=$A42),
  --('key information'!$L$2:$L$220=1),
  IFERROR(VALUE('key information'!$D$2:$D$220),0)
)</f>
        <v>2</v>
      </c>
      <c r="E42">
        <f>COUNTIF('key information'!X42:X260, codes!A42)</f>
        <v>2</v>
      </c>
      <c r="F42" t="s">
        <v>381</v>
      </c>
      <c r="G42" cm="1">
        <f t="array" ref="G42">SUMPRODUCT(
  --('key information'!$X$2:$X$220=$A42),
  --('key information'!$L$2:$L$220=1),
  --('key information'!$F$2:$F$220="['add']"),
  IFERROR(VALUE('key information'!$D$2:$D$220),0)
)</f>
        <v>2</v>
      </c>
      <c r="H42" cm="1">
        <f t="array" ref="H42">SUMPRODUCT(
  --('key information'!$X$2:$X$220=$A42),
  --('key information'!$L$2:$L$220=1),
  --('key information'!$F$2:$F$220="['remove']"),
  IFERROR(VALUE('key information'!$D$2:$D$220),0)
)</f>
        <v>0</v>
      </c>
      <c r="I42" cm="1">
        <f t="array" ref="I42">SUMPRODUCT(
  --('key information'!$X$2:$X$220=$A42),
  --('key information'!$L$2:$L$220=1),
  --('key information'!$F$2:$F$220="['migrate']"),
  IFERROR(VALUE('key information'!$D$2:$D$220),0)
)</f>
        <v>0</v>
      </c>
      <c r="J42">
        <f>COUNTIF('key information'!$X:$X, A42)</f>
        <v>2</v>
      </c>
    </row>
    <row r="43" spans="1:10" x14ac:dyDescent="0.2">
      <c r="A43" s="7" t="s">
        <v>355</v>
      </c>
      <c r="B43" t="s">
        <v>420</v>
      </c>
      <c r="C43" cm="1">
        <f t="array" ref="C43">SUMPRODUCT(--('key information'!$X$2:$X$220=$A43),
            --('key information'!$R$2:$R$220=1))</f>
        <v>2</v>
      </c>
      <c r="D43" cm="1">
        <f t="array" ref="D43">SUMPRODUCT(
  --('key information'!$X$2:$X$220=$A43),
  --('key information'!$L$2:$L$220=1),
  IFERROR(VALUE('key information'!$D$2:$D$220),0)
)</f>
        <v>5</v>
      </c>
      <c r="E43">
        <f>COUNTIF('key information'!X43:X261, codes!A43)</f>
        <v>2</v>
      </c>
      <c r="F43" t="s">
        <v>381</v>
      </c>
      <c r="G43" cm="1">
        <f t="array" ref="G43">SUMPRODUCT(
  --('key information'!$X$2:$X$220=$A43),
  --('key information'!$L$2:$L$220=1),
  --('key information'!$F$2:$F$220="['add']"),
  IFERROR(VALUE('key information'!$D$2:$D$220),0)
)</f>
        <v>5</v>
      </c>
      <c r="H43" cm="1">
        <f t="array" ref="H43">SUMPRODUCT(
  --('key information'!$X$2:$X$220=$A43),
  --('key information'!$L$2:$L$220=1),
  --('key information'!$F$2:$F$220="['remove']"),
  IFERROR(VALUE('key information'!$D$2:$D$220),0)
)</f>
        <v>0</v>
      </c>
      <c r="I43" cm="1">
        <f t="array" ref="I43">SUMPRODUCT(
  --('key information'!$X$2:$X$220=$A43),
  --('key information'!$L$2:$L$220=1),
  --('key information'!$F$2:$F$220="['migrate']"),
  IFERROR(VALUE('key information'!$D$2:$D$220),0)
)</f>
        <v>0</v>
      </c>
      <c r="J43">
        <f>COUNTIF('key information'!$X:$X, A43)</f>
        <v>2</v>
      </c>
    </row>
    <row r="44" spans="1:10" x14ac:dyDescent="0.2">
      <c r="A44" s="7" t="s">
        <v>356</v>
      </c>
      <c r="B44" t="s">
        <v>357</v>
      </c>
      <c r="C44" cm="1">
        <f t="array" ref="C44">SUMPRODUCT(--('key information'!$X$2:$X$220=$A44),
            --('key information'!$R$2:$R$220=1))</f>
        <v>1</v>
      </c>
      <c r="D44" cm="1">
        <f t="array" ref="D44">SUMPRODUCT(
  --('key information'!$X$2:$X$220=$A44),
  --('key information'!$L$2:$L$220=1),
  IFERROR(VALUE('key information'!$D$2:$D$220),0)
)</f>
        <v>2</v>
      </c>
      <c r="E44">
        <f>COUNTIF('key information'!X44:X262, codes!A44)</f>
        <v>1</v>
      </c>
      <c r="F44" t="s">
        <v>393</v>
      </c>
      <c r="G44" cm="1">
        <f t="array" ref="G44">SUMPRODUCT(
  --('key information'!$X$2:$X$220=$A44),
  --('key information'!$L$2:$L$220=1),
  --('key information'!$F$2:$F$220="['add']"),
  IFERROR(VALUE('key information'!$D$2:$D$220),0)
)</f>
        <v>2</v>
      </c>
      <c r="H44" cm="1">
        <f t="array" ref="H44">SUMPRODUCT(
  --('key information'!$X$2:$X$220=$A44),
  --('key information'!$L$2:$L$220=1),
  --('key information'!$F$2:$F$220="['remove']"),
  IFERROR(VALUE('key information'!$D$2:$D$220),0)
)</f>
        <v>0</v>
      </c>
      <c r="I44" cm="1">
        <f t="array" ref="I44">SUMPRODUCT(
  --('key information'!$X$2:$X$220=$A44),
  --('key information'!$L$2:$L$220=1),
  --('key information'!$F$2:$F$220="['migrate']"),
  IFERROR(VALUE('key information'!$D$2:$D$220),0)
)</f>
        <v>0</v>
      </c>
      <c r="J44">
        <f>COUNTIF('key information'!$X:$X, A44)</f>
        <v>1</v>
      </c>
    </row>
    <row r="45" spans="1:10" x14ac:dyDescent="0.2">
      <c r="A45" s="7" t="s">
        <v>358</v>
      </c>
      <c r="B45" t="s">
        <v>359</v>
      </c>
      <c r="C45" cm="1">
        <f t="array" ref="C45">SUMPRODUCT(--('key information'!$X$2:$X$220=$A45),
            --('key information'!$R$2:$R$220=1))</f>
        <v>2</v>
      </c>
      <c r="D45" cm="1">
        <f t="array" ref="D45">SUMPRODUCT(
  --('key information'!$X$2:$X$220=$A45),
  --('key information'!$L$2:$L$220=1),
  IFERROR(VALUE('key information'!$D$2:$D$220),0)
)</f>
        <v>1</v>
      </c>
      <c r="E45">
        <f>COUNTIF('key information'!X45:X263, codes!A45)</f>
        <v>2</v>
      </c>
      <c r="F45" t="s">
        <v>381</v>
      </c>
      <c r="G45" cm="1">
        <f t="array" ref="G45">SUMPRODUCT(
  --('key information'!$X$2:$X$220=$A45),
  --('key information'!$L$2:$L$220=1),
  --('key information'!$F$2:$F$220="['add']"),
  IFERROR(VALUE('key information'!$D$2:$D$220),0)
)</f>
        <v>1</v>
      </c>
      <c r="H45" cm="1">
        <f t="array" ref="H45">SUMPRODUCT(
  --('key information'!$X$2:$X$220=$A45),
  --('key information'!$L$2:$L$220=1),
  --('key information'!$F$2:$F$220="['remove']"),
  IFERROR(VALUE('key information'!$D$2:$D$220),0)
)</f>
        <v>0</v>
      </c>
      <c r="I45" cm="1">
        <f t="array" ref="I45">SUMPRODUCT(
  --('key information'!$X$2:$X$220=$A45),
  --('key information'!$L$2:$L$220=1),
  --('key information'!$F$2:$F$220="['migrate']"),
  IFERROR(VALUE('key information'!$D$2:$D$220),0)
)</f>
        <v>0</v>
      </c>
      <c r="J45">
        <f>COUNTIF('key information'!$X:$X, A45)</f>
        <v>2</v>
      </c>
    </row>
    <row r="46" spans="1:10" x14ac:dyDescent="0.2">
      <c r="A46" s="7" t="s">
        <v>363</v>
      </c>
      <c r="B46" t="s">
        <v>364</v>
      </c>
      <c r="C46" cm="1">
        <f t="array" ref="C46">SUMPRODUCT(--('key information'!$X$2:$X$220=$A46),
            --('key information'!$R$2:$R$220=1))</f>
        <v>1</v>
      </c>
      <c r="D46" cm="1">
        <f t="array" ref="D46">SUMPRODUCT(
  --('key information'!$X$2:$X$220=$A46),
  --('key information'!$L$2:$L$220=1),
  IFERROR(VALUE('key information'!$D$2:$D$220),0)
)</f>
        <v>2</v>
      </c>
      <c r="E46">
        <f>COUNTIF('key information'!X46:X264, codes!A46)</f>
        <v>1</v>
      </c>
      <c r="F46" t="s">
        <v>388</v>
      </c>
      <c r="G46" cm="1">
        <f t="array" ref="G46">SUMPRODUCT(
  --('key information'!$X$2:$X$220=$A46),
  --('key information'!$L$2:$L$220=1),
  --('key information'!$F$2:$F$220="['add']"),
  IFERROR(VALUE('key information'!$D$2:$D$220),0)
)</f>
        <v>2</v>
      </c>
      <c r="H46" cm="1">
        <f t="array" ref="H46">SUMPRODUCT(
  --('key information'!$X$2:$X$220=$A46),
  --('key information'!$L$2:$L$220=1),
  --('key information'!$F$2:$F$220="['remove']"),
  IFERROR(VALUE('key information'!$D$2:$D$220),0)
)</f>
        <v>0</v>
      </c>
      <c r="I46" cm="1">
        <f t="array" ref="I46">SUMPRODUCT(
  --('key information'!$X$2:$X$220=$A46),
  --('key information'!$L$2:$L$220=1),
  --('key information'!$F$2:$F$220="['migrate']"),
  IFERROR(VALUE('key information'!$D$2:$D$220),0)
)</f>
        <v>0</v>
      </c>
      <c r="J46">
        <f>COUNTIF('key information'!$X:$X, A46)</f>
        <v>1</v>
      </c>
    </row>
    <row r="47" spans="1:10" x14ac:dyDescent="0.2">
      <c r="A47" s="7" t="s">
        <v>365</v>
      </c>
      <c r="B47" t="s">
        <v>445</v>
      </c>
      <c r="C47" cm="1">
        <f t="array" ref="C47">SUMPRODUCT(--('key information'!$X$2:$X$220=$A47),
            --('key information'!$R$2:$R$220=1))</f>
        <v>1</v>
      </c>
      <c r="D47" cm="1">
        <f t="array" ref="D47">SUMPRODUCT(
  --('key information'!$X$2:$X$220=$A47),
  --('key information'!$L$2:$L$220=1),
  IFERROR(VALUE('key information'!$D$2:$D$220),0)
)</f>
        <v>1</v>
      </c>
      <c r="E47">
        <f>COUNTIF('key information'!X47:X265, codes!A47)</f>
        <v>1</v>
      </c>
      <c r="F47" t="s">
        <v>381</v>
      </c>
      <c r="G47" cm="1">
        <f t="array" ref="G47">SUMPRODUCT(
  --('key information'!$X$2:$X$220=$A47),
  --('key information'!$L$2:$L$220=1),
  --('key information'!$F$2:$F$220="['add']"),
  IFERROR(VALUE('key information'!$D$2:$D$220),0)
)</f>
        <v>1</v>
      </c>
      <c r="H47" cm="1">
        <f t="array" ref="H47">SUMPRODUCT(
  --('key information'!$X$2:$X$220=$A47),
  --('key information'!$L$2:$L$220=1),
  --('key information'!$F$2:$F$220="['remove']"),
  IFERROR(VALUE('key information'!$D$2:$D$220),0)
)</f>
        <v>0</v>
      </c>
      <c r="I47" cm="1">
        <f t="array" ref="I47">SUMPRODUCT(
  --('key information'!$X$2:$X$220=$A47),
  --('key information'!$L$2:$L$220=1),
  --('key information'!$F$2:$F$220="['migrate']"),
  IFERROR(VALUE('key information'!$D$2:$D$220),0)
)</f>
        <v>0</v>
      </c>
      <c r="J47">
        <f>COUNTIF('key information'!$X:$X, A47)</f>
        <v>1</v>
      </c>
    </row>
    <row r="48" spans="1:10" x14ac:dyDescent="0.2">
      <c r="A48" s="7" t="s">
        <v>367</v>
      </c>
      <c r="B48" t="s">
        <v>524</v>
      </c>
      <c r="C48" cm="1">
        <f t="array" ref="C48">SUMPRODUCT(--('key information'!$X$2:$X$220=$A48),
            --('key information'!$R$2:$R$220=1))</f>
        <v>3</v>
      </c>
      <c r="D48" cm="1">
        <f t="array" ref="D48">SUMPRODUCT(
  --('key information'!$X$2:$X$220=$A48),
  --('key information'!$L$2:$L$220=1),
  IFERROR(VALUE('key information'!$D$2:$D$220),0)
)</f>
        <v>4</v>
      </c>
      <c r="E48">
        <f>COUNTIF('key information'!X48:X266, codes!A48)</f>
        <v>3</v>
      </c>
      <c r="F48" t="s">
        <v>379</v>
      </c>
      <c r="G48" cm="1">
        <f t="array" ref="G48">SUMPRODUCT(
  --('key information'!$X$2:$X$220=$A48),
  --('key information'!$L$2:$L$220=1),
  --('key information'!$F$2:$F$220="['add']"),
  IFERROR(VALUE('key information'!$D$2:$D$220),0)
)</f>
        <v>4</v>
      </c>
      <c r="H48" cm="1">
        <f t="array" ref="H48">SUMPRODUCT(
  --('key information'!$X$2:$X$220=$A48),
  --('key information'!$L$2:$L$220=1),
  --('key information'!$F$2:$F$220="['remove']"),
  IFERROR(VALUE('key information'!$D$2:$D$220),0)
)</f>
        <v>0</v>
      </c>
      <c r="I48" cm="1">
        <f t="array" ref="I48">SUMPRODUCT(
  --('key information'!$X$2:$X$220=$A48),
  --('key information'!$L$2:$L$220=1),
  --('key information'!$F$2:$F$220="['migrate']"),
  IFERROR(VALUE('key information'!$D$2:$D$220),0)
)</f>
        <v>0</v>
      </c>
      <c r="J48">
        <f>COUNTIF('key information'!$X:$X, A48)</f>
        <v>3</v>
      </c>
    </row>
    <row r="49" spans="1:10" x14ac:dyDescent="0.2">
      <c r="A49" s="7" t="s">
        <v>396</v>
      </c>
      <c r="B49" t="s">
        <v>432</v>
      </c>
      <c r="C49" cm="1">
        <f t="array" ref="C49">SUMPRODUCT(--('key information'!$X$2:$X$220=$A49),
            --('key information'!$R$2:$R$220=1))</f>
        <v>3</v>
      </c>
      <c r="D49" cm="1">
        <f t="array" ref="D49">SUMPRODUCT(
  --('key information'!$X$2:$X$220=$A49),
  --('key information'!$L$2:$L$220=1),
  IFERROR(VALUE('key information'!$D$2:$D$220),0)
)</f>
        <v>2</v>
      </c>
      <c r="E49">
        <f>COUNTIF('key information'!X49:X267, codes!A49)</f>
        <v>3</v>
      </c>
      <c r="F49" t="s">
        <v>464</v>
      </c>
      <c r="G49" cm="1">
        <f t="array" ref="G49">SUMPRODUCT(
  --('key information'!$X$2:$X$220=$A49),
  --('key information'!$L$2:$L$220=1),
  --('key information'!$F$2:$F$220="['add']"),
  IFERROR(VALUE('key information'!$D$2:$D$220),0)
)</f>
        <v>2</v>
      </c>
      <c r="H49" cm="1">
        <f t="array" ref="H49">SUMPRODUCT(
  --('key information'!$X$2:$X$220=$A49),
  --('key information'!$L$2:$L$220=1),
  --('key information'!$F$2:$F$220="['remove']"),
  IFERROR(VALUE('key information'!$D$2:$D$220),0)
)</f>
        <v>0</v>
      </c>
      <c r="I49" cm="1">
        <f t="array" ref="I49">SUMPRODUCT(
  --('key information'!$X$2:$X$220=$A49),
  --('key information'!$L$2:$L$220=1),
  --('key information'!$F$2:$F$220="['migrate']"),
  IFERROR(VALUE('key information'!$D$2:$D$220),0)
)</f>
        <v>0</v>
      </c>
      <c r="J49">
        <f>COUNTIF('key information'!$X:$X, A49)</f>
        <v>3</v>
      </c>
    </row>
    <row r="50" spans="1:10" x14ac:dyDescent="0.2">
      <c r="A50" s="7" t="s">
        <v>397</v>
      </c>
      <c r="B50" t="s">
        <v>400</v>
      </c>
      <c r="C50" cm="1">
        <f t="array" ref="C50">SUMPRODUCT(--('key information'!$X$2:$X$220=$A50),
            --('key information'!$R$2:$R$220=1))</f>
        <v>3</v>
      </c>
      <c r="D50" cm="1">
        <f t="array" ref="D50">SUMPRODUCT(
  --('key information'!$X$2:$X$220=$A50),
  --('key information'!$L$2:$L$220=1),
  IFERROR(VALUE('key information'!$D$2:$D$220),0)
)</f>
        <v>3</v>
      </c>
      <c r="E50">
        <f>COUNTIF('key information'!X50:X268, codes!A50)</f>
        <v>3</v>
      </c>
      <c r="F50" t="s">
        <v>387</v>
      </c>
      <c r="G50" cm="1">
        <f t="array" ref="G50">SUMPRODUCT(
  --('key information'!$X$2:$X$220=$A50),
  --('key information'!$L$2:$L$220=1),
  --('key information'!$F$2:$F$220="['add']"),
  IFERROR(VALUE('key information'!$D$2:$D$220),0)
)</f>
        <v>3</v>
      </c>
      <c r="H50" cm="1">
        <f t="array" ref="H50">SUMPRODUCT(
  --('key information'!$X$2:$X$220=$A50),
  --('key information'!$L$2:$L$220=1),
  --('key information'!$F$2:$F$220="['remove']"),
  IFERROR(VALUE('key information'!$D$2:$D$220),0)
)</f>
        <v>0</v>
      </c>
      <c r="I50" cm="1">
        <f t="array" ref="I50">SUMPRODUCT(
  --('key information'!$X$2:$X$220=$A50),
  --('key information'!$L$2:$L$220=1),
  --('key information'!$F$2:$F$220="['migrate']"),
  IFERROR(VALUE('key information'!$D$2:$D$220),0)
)</f>
        <v>0</v>
      </c>
      <c r="J50">
        <f>COUNTIF('key information'!$X:$X, A50)</f>
        <v>3</v>
      </c>
    </row>
    <row r="51" spans="1:10" x14ac:dyDescent="0.2">
      <c r="A51" s="7" t="s">
        <v>398</v>
      </c>
      <c r="B51" s="3" t="s">
        <v>401</v>
      </c>
      <c r="C51" cm="1">
        <f t="array" ref="C51">SUMPRODUCT(--('key information'!$X$2:$X$220=$A51),
            --('key information'!$R$2:$R$220=1))</f>
        <v>1</v>
      </c>
      <c r="D51" cm="1">
        <f t="array" ref="D51">SUMPRODUCT(
  --('key information'!$X$2:$X$220=$A51),
  --('key information'!$L$2:$L$220=1),
  IFERROR(VALUE('key information'!$D$2:$D$220),0)
)</f>
        <v>5</v>
      </c>
      <c r="E51">
        <f>COUNTIF('key information'!X51:X269, codes!A51)</f>
        <v>1</v>
      </c>
      <c r="F51" t="s">
        <v>387</v>
      </c>
      <c r="G51" cm="1">
        <f t="array" ref="G51">SUMPRODUCT(
  --('key information'!$X$2:$X$220=$A51),
  --('key information'!$L$2:$L$220=1),
  --('key information'!$F$2:$F$220="['add']"),
  IFERROR(VALUE('key information'!$D$2:$D$220),0)
)</f>
        <v>5</v>
      </c>
      <c r="H51" cm="1">
        <f t="array" ref="H51">SUMPRODUCT(
  --('key information'!$X$2:$X$220=$A51),
  --('key information'!$L$2:$L$220=1),
  --('key information'!$F$2:$F$220="['remove']"),
  IFERROR(VALUE('key information'!$D$2:$D$220),0)
)</f>
        <v>0</v>
      </c>
      <c r="I51" cm="1">
        <f t="array" ref="I51">SUMPRODUCT(
  --('key information'!$X$2:$X$220=$A51),
  --('key information'!$L$2:$L$220=1),
  --('key information'!$F$2:$F$220="['migrate']"),
  IFERROR(VALUE('key information'!$D$2:$D$220),0)
)</f>
        <v>0</v>
      </c>
      <c r="J51">
        <f>COUNTIF('key information'!$X:$X, A51)</f>
        <v>1</v>
      </c>
    </row>
    <row r="52" spans="1:10" x14ac:dyDescent="0.2">
      <c r="A52" s="7" t="s">
        <v>402</v>
      </c>
      <c r="B52" t="s">
        <v>403</v>
      </c>
      <c r="C52" cm="1">
        <f t="array" ref="C52">SUMPRODUCT(--('key information'!$X$2:$X$220=$A52),
            --('key information'!$R$2:$R$220=1))</f>
        <v>1</v>
      </c>
      <c r="D52" cm="1">
        <f t="array" ref="D52">SUMPRODUCT(
  --('key information'!$X$2:$X$220=$A52),
  --('key information'!$L$2:$L$220=1),
  IFERROR(VALUE('key information'!$D$2:$D$220),0)
)</f>
        <v>4</v>
      </c>
      <c r="E52">
        <f>COUNTIF('key information'!X52:X270, codes!A52)</f>
        <v>1</v>
      </c>
      <c r="F52" t="s">
        <v>385</v>
      </c>
      <c r="G52" cm="1">
        <f t="array" ref="G52">SUMPRODUCT(
  --('key information'!$X$2:$X$220=$A52),
  --('key information'!$L$2:$L$220=1),
  --('key information'!$F$2:$F$220="['add']"),
  IFERROR(VALUE('key information'!$D$2:$D$220),0)
)</f>
        <v>4</v>
      </c>
      <c r="H52" cm="1">
        <f t="array" ref="H52">SUMPRODUCT(
  --('key information'!$X$2:$X$220=$A52),
  --('key information'!$L$2:$L$220=1),
  --('key information'!$F$2:$F$220="['remove']"),
  IFERROR(VALUE('key information'!$D$2:$D$220),0)
)</f>
        <v>0</v>
      </c>
      <c r="I52" cm="1">
        <f t="array" ref="I52">SUMPRODUCT(
  --('key information'!$X$2:$X$220=$A52),
  --('key information'!$L$2:$L$220=1),
  --('key information'!$F$2:$F$220="['migrate']"),
  IFERROR(VALUE('key information'!$D$2:$D$220),0)
)</f>
        <v>0</v>
      </c>
      <c r="J52">
        <f>COUNTIF('key information'!$X:$X, A52)</f>
        <v>1</v>
      </c>
    </row>
    <row r="53" spans="1:10" x14ac:dyDescent="0.2">
      <c r="A53" s="7" t="s">
        <v>404</v>
      </c>
      <c r="B53" t="s">
        <v>405</v>
      </c>
      <c r="C53" cm="1">
        <f t="array" ref="C53">SUMPRODUCT(--('key information'!$X$2:$X$220=$A53),
            --('key information'!$R$2:$R$220=1))</f>
        <v>2</v>
      </c>
      <c r="D53" cm="1">
        <f t="array" ref="D53">SUMPRODUCT(
  --('key information'!$X$2:$X$220=$A53),
  --('key information'!$L$2:$L$220=1),
  IFERROR(VALUE('key information'!$D$2:$D$220),0)
)</f>
        <v>3</v>
      </c>
      <c r="E53">
        <f>COUNTIF('key information'!X53:X271, codes!A53)</f>
        <v>2</v>
      </c>
      <c r="F53" t="s">
        <v>387</v>
      </c>
      <c r="G53" cm="1">
        <f t="array" ref="G53">SUMPRODUCT(
  --('key information'!$X$2:$X$220=$A53),
  --('key information'!$L$2:$L$220=1),
  --('key information'!$F$2:$F$220="['add']"),
  IFERROR(VALUE('key information'!$D$2:$D$220),0)
)</f>
        <v>3</v>
      </c>
      <c r="H53" cm="1">
        <f t="array" ref="H53">SUMPRODUCT(
  --('key information'!$X$2:$X$220=$A53),
  --('key information'!$L$2:$L$220=1),
  --('key information'!$F$2:$F$220="['remove']"),
  IFERROR(VALUE('key information'!$D$2:$D$220),0)
)</f>
        <v>0</v>
      </c>
      <c r="I53" cm="1">
        <f t="array" ref="I53">SUMPRODUCT(
  --('key information'!$X$2:$X$220=$A53),
  --('key information'!$L$2:$L$220=1),
  --('key information'!$F$2:$F$220="['migrate']"),
  IFERROR(VALUE('key information'!$D$2:$D$220),0)
)</f>
        <v>0</v>
      </c>
      <c r="J53">
        <f>COUNTIF('key information'!$X:$X, A53)</f>
        <v>2</v>
      </c>
    </row>
    <row r="54" spans="1:10" x14ac:dyDescent="0.2">
      <c r="A54" s="7" t="s">
        <v>406</v>
      </c>
      <c r="B54" t="s">
        <v>407</v>
      </c>
      <c r="C54" cm="1">
        <f t="array" ref="C54">SUMPRODUCT(--('key information'!$X$2:$X$220=$A54),
            --('key information'!$R$2:$R$220=1))</f>
        <v>2</v>
      </c>
      <c r="D54" cm="1">
        <f t="array" ref="D54">SUMPRODUCT(
  --('key information'!$X$2:$X$220=$A54),
  --('key information'!$L$2:$L$220=1),
  IFERROR(VALUE('key information'!$D$2:$D$220),0)
)</f>
        <v>2</v>
      </c>
      <c r="E54">
        <f>COUNTIF('key information'!X54:X272, codes!A54)</f>
        <v>2</v>
      </c>
      <c r="F54" t="s">
        <v>389</v>
      </c>
      <c r="G54" cm="1">
        <f t="array" ref="G54">SUMPRODUCT(
  --('key information'!$X$2:$X$220=$A54),
  --('key information'!$L$2:$L$220=1),
  --('key information'!$F$2:$F$220="['add']"),
  IFERROR(VALUE('key information'!$D$2:$D$220),0)
)</f>
        <v>0</v>
      </c>
      <c r="H54" cm="1">
        <f t="array" ref="H54">SUMPRODUCT(
  --('key information'!$X$2:$X$220=$A54),
  --('key information'!$L$2:$L$220=1),
  --('key information'!$F$2:$F$220="['remove']"),
  IFERROR(VALUE('key information'!$D$2:$D$220),0)
)</f>
        <v>2</v>
      </c>
      <c r="I54" cm="1">
        <f t="array" ref="I54">SUMPRODUCT(
  --('key information'!$X$2:$X$220=$A54),
  --('key information'!$L$2:$L$220=1),
  --('key information'!$F$2:$F$220="['migrate']"),
  IFERROR(VALUE('key information'!$D$2:$D$220),0)
)</f>
        <v>0</v>
      </c>
      <c r="J54">
        <f>COUNTIF('key information'!$X:$X, A54)</f>
        <v>2</v>
      </c>
    </row>
    <row r="55" spans="1:10" x14ac:dyDescent="0.2">
      <c r="A55" s="7" t="s">
        <v>408</v>
      </c>
      <c r="B55" t="s">
        <v>409</v>
      </c>
      <c r="C55" cm="1">
        <f t="array" ref="C55">SUMPRODUCT(--('key information'!$X$2:$X$220=$A55),
            --('key information'!$R$2:$R$220=1))</f>
        <v>2</v>
      </c>
      <c r="D55" cm="1">
        <f t="array" ref="D55">SUMPRODUCT(
  --('key information'!$X$2:$X$220=$A55),
  --('key information'!$L$2:$L$220=1),
  IFERROR(VALUE('key information'!$D$2:$D$220),0)
)</f>
        <v>1</v>
      </c>
      <c r="E55">
        <f>COUNTIF('key information'!X55:X273, codes!A55)</f>
        <v>2</v>
      </c>
      <c r="F55" t="s">
        <v>390</v>
      </c>
      <c r="G55" cm="1">
        <f t="array" ref="G55">SUMPRODUCT(
  --('key information'!$X$2:$X$220=$A55),
  --('key information'!$L$2:$L$220=1),
  --('key information'!$F$2:$F$220="['add']"),
  IFERROR(VALUE('key information'!$D$2:$D$220),0)
)</f>
        <v>1</v>
      </c>
      <c r="H55" cm="1">
        <f t="array" ref="H55">SUMPRODUCT(
  --('key information'!$X$2:$X$220=$A55),
  --('key information'!$L$2:$L$220=1),
  --('key information'!$F$2:$F$220="['remove']"),
  IFERROR(VALUE('key information'!$D$2:$D$220),0)
)</f>
        <v>0</v>
      </c>
      <c r="I55" cm="1">
        <f t="array" ref="I55">SUMPRODUCT(
  --('key information'!$X$2:$X$220=$A55),
  --('key information'!$L$2:$L$220=1),
  --('key information'!$F$2:$F$220="['migrate']"),
  IFERROR(VALUE('key information'!$D$2:$D$220),0)
)</f>
        <v>0</v>
      </c>
      <c r="J55">
        <f>COUNTIF('key information'!$X:$X, A55)</f>
        <v>2</v>
      </c>
    </row>
    <row r="56" spans="1:10" x14ac:dyDescent="0.2">
      <c r="A56" s="7" t="s">
        <v>410</v>
      </c>
      <c r="B56" t="s">
        <v>411</v>
      </c>
      <c r="C56" cm="1">
        <f t="array" ref="C56">SUMPRODUCT(--('key information'!$X$2:$X$220=$A56),
            --('key information'!$R$2:$R$220=1))</f>
        <v>9</v>
      </c>
      <c r="D56" cm="1">
        <f t="array" ref="D56">SUMPRODUCT(
  --('key information'!$X$2:$X$220=$A56),
  --('key information'!$L$2:$L$220=1),
  IFERROR(VALUE('key information'!$D$2:$D$220),0)
)</f>
        <v>9</v>
      </c>
      <c r="E56">
        <f>COUNTIF('key information'!X56:X274, codes!A56)</f>
        <v>9</v>
      </c>
      <c r="F56" t="s">
        <v>390</v>
      </c>
      <c r="G56" cm="1">
        <f t="array" ref="G56">SUMPRODUCT(
  --('key information'!$X$2:$X$220=$A56),
  --('key information'!$L$2:$L$220=1),
  --('key information'!$F$2:$F$220="['add']"),
  IFERROR(VALUE('key information'!$D$2:$D$220),0)
)</f>
        <v>9</v>
      </c>
      <c r="H56" cm="1">
        <f t="array" ref="H56">SUMPRODUCT(
  --('key information'!$X$2:$X$220=$A56),
  --('key information'!$L$2:$L$220=1),
  --('key information'!$F$2:$F$220="['remove']"),
  IFERROR(VALUE('key information'!$D$2:$D$220),0)
)</f>
        <v>0</v>
      </c>
      <c r="I56" cm="1">
        <f t="array" ref="I56">SUMPRODUCT(
  --('key information'!$X$2:$X$220=$A56),
  --('key information'!$L$2:$L$220=1),
  --('key information'!$F$2:$F$220="['migrate']"),
  IFERROR(VALUE('key information'!$D$2:$D$220),0)
)</f>
        <v>0</v>
      </c>
      <c r="J56">
        <f>COUNTIF('key information'!$X:$X, A56)</f>
        <v>9</v>
      </c>
    </row>
    <row r="57" spans="1:10" x14ac:dyDescent="0.2">
      <c r="A57" s="7" t="s">
        <v>413</v>
      </c>
      <c r="B57" t="s">
        <v>414</v>
      </c>
      <c r="C57" cm="1">
        <f t="array" ref="C57">SUMPRODUCT(--('key information'!$X$2:$X$220=$A57),
            --('key information'!$R$2:$R$220=1))</f>
        <v>5</v>
      </c>
      <c r="D57" cm="1">
        <f t="array" ref="D57">SUMPRODUCT(
  --('key information'!$X$2:$X$220=$A57),
  --('key information'!$L$2:$L$220=1),
  IFERROR(VALUE('key information'!$D$2:$D$220),0)
)</f>
        <v>2</v>
      </c>
      <c r="E57">
        <f>COUNTIF('key information'!X57:X275, codes!A57)</f>
        <v>5</v>
      </c>
      <c r="F57" t="s">
        <v>379</v>
      </c>
      <c r="G57" cm="1">
        <f t="array" ref="G57">SUMPRODUCT(
  --('key information'!$X$2:$X$220=$A57),
  --('key information'!$L$2:$L$220=1),
  --('key information'!$F$2:$F$220="['add']"),
  IFERROR(VALUE('key information'!$D$2:$D$220),0)
)</f>
        <v>2</v>
      </c>
      <c r="H57" cm="1">
        <f t="array" ref="H57">SUMPRODUCT(
  --('key information'!$X$2:$X$220=$A57),
  --('key information'!$L$2:$L$220=1),
  --('key information'!$F$2:$F$220="['remove']"),
  IFERROR(VALUE('key information'!$D$2:$D$220),0)
)</f>
        <v>0</v>
      </c>
      <c r="I57" cm="1">
        <f t="array" ref="I57">SUMPRODUCT(
  --('key information'!$X$2:$X$220=$A57),
  --('key information'!$L$2:$L$220=1),
  --('key information'!$F$2:$F$220="['migrate']"),
  IFERROR(VALUE('key information'!$D$2:$D$220),0)
)</f>
        <v>0</v>
      </c>
      <c r="J57">
        <f>COUNTIF('key information'!$X:$X, A57)</f>
        <v>5</v>
      </c>
    </row>
    <row r="58" spans="1:10" x14ac:dyDescent="0.2">
      <c r="A58" s="7" t="s">
        <v>415</v>
      </c>
      <c r="B58" t="s">
        <v>416</v>
      </c>
      <c r="C58" cm="1">
        <f t="array" ref="C58">SUMPRODUCT(--('key information'!$X$2:$X$220=$A58),
            --('key information'!$R$2:$R$220=1))</f>
        <v>6</v>
      </c>
      <c r="D58" cm="1">
        <f t="array" ref="D58">SUMPRODUCT(
  --('key information'!$X$2:$X$220=$A58),
  --('key information'!$L$2:$L$220=1),
  IFERROR(VALUE('key information'!$D$2:$D$220),0)
)</f>
        <v>7</v>
      </c>
      <c r="E58">
        <f>COUNTIF('key information'!X58:X276, codes!A58)</f>
        <v>6</v>
      </c>
      <c r="F58" t="s">
        <v>459</v>
      </c>
      <c r="G58" cm="1">
        <f t="array" ref="G58">SUMPRODUCT(
  --('key information'!$X$2:$X$220=$A58),
  --('key information'!$L$2:$L$220=1),
  --('key information'!$F$2:$F$220="['add']"),
  IFERROR(VALUE('key information'!$D$2:$D$220),0)
)</f>
        <v>7</v>
      </c>
      <c r="H58" cm="1">
        <f t="array" ref="H58">SUMPRODUCT(
  --('key information'!$X$2:$X$220=$A58),
  --('key information'!$L$2:$L$220=1),
  --('key information'!$F$2:$F$220="['remove']"),
  IFERROR(VALUE('key information'!$D$2:$D$220),0)
)</f>
        <v>0</v>
      </c>
      <c r="I58" cm="1">
        <f t="array" ref="I58">SUMPRODUCT(
  --('key information'!$X$2:$X$220=$A58),
  --('key information'!$L$2:$L$220=1),
  --('key information'!$F$2:$F$220="['migrate']"),
  IFERROR(VALUE('key information'!$D$2:$D$220),0)
)</f>
        <v>0</v>
      </c>
      <c r="J58">
        <f>COUNTIF('key information'!$X:$X, A58)</f>
        <v>6</v>
      </c>
    </row>
    <row r="59" spans="1:10" x14ac:dyDescent="0.2">
      <c r="A59" s="7" t="s">
        <v>417</v>
      </c>
      <c r="B59" t="s">
        <v>418</v>
      </c>
      <c r="C59" cm="1">
        <f t="array" ref="C59">SUMPRODUCT(--('key information'!$X$2:$X$220=$A59),
            --('key information'!$R$2:$R$220=1))</f>
        <v>8</v>
      </c>
      <c r="D59" cm="1">
        <f t="array" ref="D59">SUMPRODUCT(
  --('key information'!$X$2:$X$220=$A59),
  --('key information'!$L$2:$L$220=1),
  IFERROR(VALUE('key information'!$D$2:$D$220),0)
)</f>
        <v>19</v>
      </c>
      <c r="E59">
        <f>COUNTIF('key information'!X59:X277, codes!A59)</f>
        <v>7</v>
      </c>
      <c r="F59" t="s">
        <v>391</v>
      </c>
      <c r="G59" cm="1">
        <f t="array" ref="G59">SUMPRODUCT(
  --('key information'!$X$2:$X$220=$A59),
  --('key information'!$L$2:$L$220=1),
  --('key information'!$F$2:$F$220="['add']"),
  IFERROR(VALUE('key information'!$D$2:$D$220),0)
)</f>
        <v>7</v>
      </c>
      <c r="H59" cm="1">
        <f t="array" ref="H59">SUMPRODUCT(
  --('key information'!$X$2:$X$220=$A59),
  --('key information'!$L$2:$L$220=1),
  --('key information'!$F$2:$F$220="['remove']"),
  IFERROR(VALUE('key information'!$D$2:$D$220),0)
)</f>
        <v>0</v>
      </c>
      <c r="I59" cm="1">
        <f t="array" ref="I59">SUMPRODUCT(
  --('key information'!$X$2:$X$220=$A59),
  --('key information'!$L$2:$L$220=1),
  --('key information'!$F$2:$F$220="['migrate']"),
  IFERROR(VALUE('key information'!$D$2:$D$220),0)
)</f>
        <v>12</v>
      </c>
      <c r="J59">
        <f>COUNTIF('key information'!$X:$X, A59)</f>
        <v>8</v>
      </c>
    </row>
    <row r="60" spans="1:10" x14ac:dyDescent="0.2">
      <c r="A60" s="7" t="s">
        <v>422</v>
      </c>
      <c r="B60" t="s">
        <v>423</v>
      </c>
      <c r="C60" cm="1">
        <f t="array" ref="C60">SUMPRODUCT(--('key information'!$X$2:$X$220=$A60),
            --('key information'!$R$2:$R$220=1))</f>
        <v>4</v>
      </c>
      <c r="D60" cm="1">
        <f t="array" ref="D60">SUMPRODUCT(
  --('key information'!$X$2:$X$220=$A60),
  --('key information'!$L$2:$L$220=1),
  IFERROR(VALUE('key information'!$D$2:$D$220),0)
)</f>
        <v>4</v>
      </c>
      <c r="E60">
        <f>COUNTIF('key information'!X60:X278, codes!A60)</f>
        <v>4</v>
      </c>
      <c r="F60" t="s">
        <v>456</v>
      </c>
      <c r="G60" cm="1">
        <f t="array" ref="G60">SUMPRODUCT(
  --('key information'!$X$2:$X$220=$A60),
  --('key information'!$L$2:$L$220=1),
  --('key information'!$F$2:$F$220="['add']"),
  IFERROR(VALUE('key information'!$D$2:$D$220),0)
)</f>
        <v>4</v>
      </c>
      <c r="H60" cm="1">
        <f t="array" ref="H60">SUMPRODUCT(
  --('key information'!$X$2:$X$220=$A60),
  --('key information'!$L$2:$L$220=1),
  --('key information'!$F$2:$F$220="['remove']"),
  IFERROR(VALUE('key information'!$D$2:$D$220),0)
)</f>
        <v>0</v>
      </c>
      <c r="I60" cm="1">
        <f t="array" ref="I60">SUMPRODUCT(
  --('key information'!$X$2:$X$220=$A60),
  --('key information'!$L$2:$L$220=1),
  --('key information'!$F$2:$F$220="['migrate']"),
  IFERROR(VALUE('key information'!$D$2:$D$220),0)
)</f>
        <v>0</v>
      </c>
      <c r="J60">
        <f>COUNTIF('key information'!$X:$X, A60)</f>
        <v>4</v>
      </c>
    </row>
    <row r="61" spans="1:10" x14ac:dyDescent="0.2">
      <c r="A61" s="7" t="s">
        <v>425</v>
      </c>
      <c r="B61" t="s">
        <v>455</v>
      </c>
      <c r="C61" cm="1">
        <f t="array" ref="C61">SUMPRODUCT(--('key information'!$X$2:$X$220=$A61),
            --('key information'!$R$2:$R$220=1))</f>
        <v>5</v>
      </c>
      <c r="D61" cm="1">
        <f t="array" ref="D61">SUMPRODUCT(
  --('key information'!$X$2:$X$220=$A61),
  --('key information'!$L$2:$L$220=1),
  IFERROR(VALUE('key information'!$D$2:$D$220),0)
)</f>
        <v>33</v>
      </c>
      <c r="E61">
        <f>COUNTIF('key information'!X61:X279, codes!A61)</f>
        <v>4</v>
      </c>
      <c r="F61" t="s">
        <v>386</v>
      </c>
      <c r="G61" cm="1">
        <f t="array" ref="G61">SUMPRODUCT(
  --('key information'!$X$2:$X$220=$A61),
  --('key information'!$L$2:$L$220=1),
  --('key information'!$F$2:$F$220="['add']"),
  IFERROR(VALUE('key information'!$D$2:$D$220),0)
)</f>
        <v>33</v>
      </c>
      <c r="H61" cm="1">
        <f t="array" ref="H61">SUMPRODUCT(
  --('key information'!$X$2:$X$220=$A61),
  --('key information'!$L$2:$L$220=1),
  --('key information'!$F$2:$F$220="['remove']"),
  IFERROR(VALUE('key information'!$D$2:$D$220),0)
)</f>
        <v>0</v>
      </c>
      <c r="I61" cm="1">
        <f t="array" ref="I61">SUMPRODUCT(
  --('key information'!$X$2:$X$220=$A61),
  --('key information'!$L$2:$L$220=1),
  --('key information'!$F$2:$F$220="['migrate']"),
  IFERROR(VALUE('key information'!$D$2:$D$220),0)
)</f>
        <v>0</v>
      </c>
      <c r="J61">
        <f>COUNTIF('key information'!$X:$X, A61)</f>
        <v>5</v>
      </c>
    </row>
    <row r="62" spans="1:10" x14ac:dyDescent="0.2">
      <c r="A62" s="7" t="s">
        <v>512</v>
      </c>
      <c r="B62" t="s">
        <v>513</v>
      </c>
      <c r="C62" cm="1">
        <f t="array" ref="C62">SUMPRODUCT(--('key information'!$X$2:$X$220=$A62),
            --('key information'!$R$2:$R$220=1))</f>
        <v>2</v>
      </c>
      <c r="D62" cm="1">
        <f t="array" ref="D62">SUMPRODUCT(
  --('key information'!$X$2:$X$220=$A62),
  --('key information'!$L$2:$L$220=1),
  IFERROR(VALUE('key information'!$D$2:$D$220),0)
)</f>
        <v>1</v>
      </c>
      <c r="E62">
        <f>COUNTIF('key information'!X62:X280, codes!A62)</f>
        <v>0</v>
      </c>
      <c r="F62" t="s">
        <v>392</v>
      </c>
      <c r="G62" cm="1">
        <f t="array" ref="G62">SUMPRODUCT(
  --('key information'!$X$2:$X$220=$A62),
  --('key information'!$L$2:$L$220=1),
  --('key information'!$F$2:$F$220="['add']"),
  IFERROR(VALUE('key information'!$D$2:$D$220),0)
)</f>
        <v>1</v>
      </c>
      <c r="H62" cm="1">
        <f t="array" ref="H62">SUMPRODUCT(
  --('key information'!$X$2:$X$220=$A62),
  --('key information'!$L$2:$L$220=1),
  --('key information'!$F$2:$F$220="['remove']"),
  IFERROR(VALUE('key information'!$D$2:$D$220),0)
)</f>
        <v>0</v>
      </c>
      <c r="I62" cm="1">
        <f t="array" ref="I62">SUMPRODUCT(
  --('key information'!$X$2:$X$220=$A62),
  --('key information'!$L$2:$L$220=1),
  --('key information'!$F$2:$F$220="['migrate']"),
  IFERROR(VALUE('key information'!$D$2:$D$220),0)
)</f>
        <v>0</v>
      </c>
      <c r="J62">
        <f>COUNTIF('key information'!$X:$X, A62)</f>
        <v>2</v>
      </c>
    </row>
    <row r="63" spans="1:10" x14ac:dyDescent="0.2">
      <c r="A63" s="7" t="s">
        <v>500</v>
      </c>
      <c r="B63" t="s">
        <v>499</v>
      </c>
      <c r="C63" cm="1">
        <f t="array" ref="C63">SUMPRODUCT(--('key information'!$X$2:$X$220=$A63),
            --('key information'!$R$2:$R$220=1))</f>
        <v>1</v>
      </c>
      <c r="D63" cm="1">
        <f t="array" ref="D63">SUMPRODUCT(
  --('key information'!$X$2:$X$220=$A63),
  --('key information'!$L$2:$L$220=1),
  IFERROR(VALUE('key information'!$D$2:$D$220),0)
)</f>
        <v>1</v>
      </c>
      <c r="E63">
        <f>COUNTIF('key information'!X63:X281, codes!A63)</f>
        <v>1</v>
      </c>
      <c r="F63" t="s">
        <v>391</v>
      </c>
      <c r="G63" cm="1">
        <f t="array" ref="G63">SUMPRODUCT(
  --('key information'!$X$2:$X$220=$A63),
  --('key information'!$L$2:$L$220=1),
  --('key information'!$F$2:$F$220="['add']"),
  IFERROR(VALUE('key information'!$D$2:$D$220),0)
)</f>
        <v>0</v>
      </c>
      <c r="H63" cm="1">
        <f t="array" ref="H63">SUMPRODUCT(
  --('key information'!$X$2:$X$220=$A63),
  --('key information'!$L$2:$L$220=1),
  --('key information'!$F$2:$F$220="['remove']"),
  IFERROR(VALUE('key information'!$D$2:$D$220),0)
)</f>
        <v>1</v>
      </c>
      <c r="I63" cm="1">
        <f t="array" ref="I63">SUMPRODUCT(
  --('key information'!$X$2:$X$220=$A63),
  --('key information'!$L$2:$L$220=1),
  --('key information'!$F$2:$F$220="['migrate']"),
  IFERROR(VALUE('key information'!$D$2:$D$220),0)
)</f>
        <v>0</v>
      </c>
      <c r="J63">
        <f>COUNTIF('key information'!$X:$X, A63)</f>
        <v>1</v>
      </c>
    </row>
    <row r="64" spans="1:10" x14ac:dyDescent="0.2">
      <c r="A64" s="7" t="s">
        <v>426</v>
      </c>
      <c r="B64" t="s">
        <v>427</v>
      </c>
      <c r="C64" cm="1">
        <f t="array" ref="C64">SUMPRODUCT(--('key information'!$X$2:$X$220=$A64),
            --('key information'!$R$2:$R$220=1))</f>
        <v>3</v>
      </c>
      <c r="D64" cm="1">
        <f t="array" ref="D64">SUMPRODUCT(
  --('key information'!$X$2:$X$220=$A64),
  --('key information'!$L$2:$L$220=1),
  IFERROR(VALUE('key information'!$D$2:$D$220),0)
)</f>
        <v>1</v>
      </c>
      <c r="E64">
        <f>COUNTIF('key information'!X64:X282, codes!A64)</f>
        <v>3</v>
      </c>
      <c r="F64" t="s">
        <v>464</v>
      </c>
      <c r="G64" cm="1">
        <f t="array" ref="G64">SUMPRODUCT(
  --('key information'!$X$2:$X$220=$A64),
  --('key information'!$L$2:$L$220=1),
  --('key information'!$F$2:$F$220="['add']"),
  IFERROR(VALUE('key information'!$D$2:$D$220),0)
)</f>
        <v>1</v>
      </c>
      <c r="H64" cm="1">
        <f t="array" ref="H64">SUMPRODUCT(
  --('key information'!$X$2:$X$220=$A64),
  --('key information'!$L$2:$L$220=1),
  --('key information'!$F$2:$F$220="['remove']"),
  IFERROR(VALUE('key information'!$D$2:$D$220),0)
)</f>
        <v>0</v>
      </c>
      <c r="I64" cm="1">
        <f t="array" ref="I64">SUMPRODUCT(
  --('key information'!$X$2:$X$220=$A64),
  --('key information'!$L$2:$L$220=1),
  --('key information'!$F$2:$F$220="['migrate']"),
  IFERROR(VALUE('key information'!$D$2:$D$220),0)
)</f>
        <v>0</v>
      </c>
      <c r="J64">
        <f>COUNTIF('key information'!$X:$X, A64)</f>
        <v>3</v>
      </c>
    </row>
    <row r="65" spans="1:10" x14ac:dyDescent="0.2">
      <c r="A65" s="7" t="s">
        <v>431</v>
      </c>
      <c r="B65" t="s">
        <v>433</v>
      </c>
      <c r="C65" cm="1">
        <f t="array" ref="C65">SUMPRODUCT(--('key information'!$X$2:$X$220=$A65),
            --('key information'!$R$2:$R$220=1))</f>
        <v>1</v>
      </c>
      <c r="D65" cm="1">
        <f t="array" ref="D65">SUMPRODUCT(
  --('key information'!$X$2:$X$220=$A65),
  --('key information'!$L$2:$L$220=1),
  IFERROR(VALUE('key information'!$D$2:$D$220),0)
)</f>
        <v>1</v>
      </c>
      <c r="E65">
        <f>COUNTIF('key information'!X65:X283, codes!A65)</f>
        <v>1</v>
      </c>
      <c r="F65" t="s">
        <v>385</v>
      </c>
      <c r="G65" cm="1">
        <f t="array" ref="G65">SUMPRODUCT(
  --('key information'!$X$2:$X$220=$A65),
  --('key information'!$L$2:$L$220=1),
  --('key information'!$F$2:$F$220="['add']"),
  IFERROR(VALUE('key information'!$D$2:$D$220),0)
)</f>
        <v>1</v>
      </c>
      <c r="H65" cm="1">
        <f t="array" ref="H65">SUMPRODUCT(
  --('key information'!$X$2:$X$220=$A65),
  --('key information'!$L$2:$L$220=1),
  --('key information'!$F$2:$F$220="['remove']"),
  IFERROR(VALUE('key information'!$D$2:$D$220),0)
)</f>
        <v>0</v>
      </c>
      <c r="I65" cm="1">
        <f t="array" ref="I65">SUMPRODUCT(
  --('key information'!$X$2:$X$220=$A65),
  --('key information'!$L$2:$L$220=1),
  --('key information'!$F$2:$F$220="['migrate']"),
  IFERROR(VALUE('key information'!$D$2:$D$220),0)
)</f>
        <v>0</v>
      </c>
      <c r="J65">
        <f>COUNTIF('key information'!$X:$X, A65)</f>
        <v>1</v>
      </c>
    </row>
    <row r="66" spans="1:10" x14ac:dyDescent="0.2">
      <c r="A66" s="7" t="s">
        <v>434</v>
      </c>
      <c r="B66" t="s">
        <v>435</v>
      </c>
      <c r="C66" cm="1">
        <f t="array" ref="C66">SUMPRODUCT(--('key information'!$X$2:$X$220=$A66),
            --('key information'!$R$2:$R$220=1))</f>
        <v>1</v>
      </c>
      <c r="D66" cm="1">
        <f t="array" ref="D66">SUMPRODUCT(
  --('key information'!$X$2:$X$220=$A66),
  --('key information'!$L$2:$L$220=1),
  IFERROR(VALUE('key information'!$D$2:$D$220),0)
)</f>
        <v>1</v>
      </c>
      <c r="E66">
        <f>COUNTIF('key information'!X66:X284, codes!A66)</f>
        <v>0</v>
      </c>
      <c r="F66" t="s">
        <v>382</v>
      </c>
      <c r="G66" cm="1">
        <f t="array" ref="G66">SUMPRODUCT(
  --('key information'!$X$2:$X$220=$A66),
  --('key information'!$L$2:$L$220=1),
  --('key information'!$F$2:$F$220="['add']"),
  IFERROR(VALUE('key information'!$D$2:$D$220),0)
)</f>
        <v>1</v>
      </c>
      <c r="H66" cm="1">
        <f t="array" ref="H66">SUMPRODUCT(
  --('key information'!$X$2:$X$220=$A66),
  --('key information'!$L$2:$L$220=1),
  --('key information'!$F$2:$F$220="['remove']"),
  IFERROR(VALUE('key information'!$D$2:$D$220),0)
)</f>
        <v>0</v>
      </c>
      <c r="I66" cm="1">
        <f t="array" ref="I66">SUMPRODUCT(
  --('key information'!$X$2:$X$220=$A66),
  --('key information'!$L$2:$L$220=1),
  --('key information'!$F$2:$F$220="['migrate']"),
  IFERROR(VALUE('key information'!$D$2:$D$220),0)
)</f>
        <v>0</v>
      </c>
      <c r="J66">
        <f>COUNTIF('key information'!$X:$X, A66)</f>
        <v>1</v>
      </c>
    </row>
    <row r="67" spans="1:10" x14ac:dyDescent="0.2">
      <c r="A67" s="7" t="s">
        <v>436</v>
      </c>
      <c r="B67" t="s">
        <v>437</v>
      </c>
      <c r="C67" cm="1">
        <f t="array" ref="C67">SUMPRODUCT(--('key information'!$X$2:$X$220=$A67),
            --('key information'!$R$2:$R$220=1))</f>
        <v>2</v>
      </c>
      <c r="D67" cm="1">
        <f t="array" ref="D67">SUMPRODUCT(
  --('key information'!$X$2:$X$220=$A67),
  --('key information'!$L$2:$L$220=1),
  IFERROR(VALUE('key information'!$D$2:$D$220),0)
)</f>
        <v>3</v>
      </c>
      <c r="E67">
        <f>COUNTIF('key information'!X67:X285, codes!A67)</f>
        <v>2</v>
      </c>
      <c r="F67" t="s">
        <v>448</v>
      </c>
      <c r="G67" cm="1">
        <f t="array" ref="G67">SUMPRODUCT(
  --('key information'!$X$2:$X$220=$A67),
  --('key information'!$L$2:$L$220=1),
  --('key information'!$F$2:$F$220="['add']"),
  IFERROR(VALUE('key information'!$D$2:$D$220),0)
)</f>
        <v>0</v>
      </c>
      <c r="H67" cm="1">
        <f t="array" ref="H67">SUMPRODUCT(
  --('key information'!$X$2:$X$220=$A67),
  --('key information'!$L$2:$L$220=1),
  --('key information'!$F$2:$F$220="['remove']"),
  IFERROR(VALUE('key information'!$D$2:$D$220),0)
)</f>
        <v>0</v>
      </c>
      <c r="I67" cm="1">
        <f t="array" ref="I67">SUMPRODUCT(
  --('key information'!$X$2:$X$220=$A67),
  --('key information'!$L$2:$L$220=1),
  --('key information'!$F$2:$F$220="['migrate']"),
  IFERROR(VALUE('key information'!$D$2:$D$220),0)
)</f>
        <v>3</v>
      </c>
      <c r="J67">
        <f>COUNTIF('key information'!$X:$X, A67)</f>
        <v>2</v>
      </c>
    </row>
    <row r="68" spans="1:10" x14ac:dyDescent="0.2">
      <c r="A68" s="7" t="s">
        <v>439</v>
      </c>
      <c r="B68" t="s">
        <v>440</v>
      </c>
      <c r="C68" cm="1">
        <f t="array" ref="C68">SUMPRODUCT(--('key information'!$X$2:$X$220=$A68),
            --('key information'!$R$2:$R$220=1))</f>
        <v>2</v>
      </c>
      <c r="D68" cm="1">
        <f t="array" ref="D68">SUMPRODUCT(
  --('key information'!$X$2:$X$220=$A68),
  --('key information'!$L$2:$L$220=1),
  IFERROR(VALUE('key information'!$D$2:$D$220),0)
)</f>
        <v>1</v>
      </c>
      <c r="E68">
        <f>COUNTIF('key information'!X68:X286, codes!A68)</f>
        <v>2</v>
      </c>
      <c r="F68" t="s">
        <v>448</v>
      </c>
      <c r="G68" cm="1">
        <f t="array" ref="G68">SUMPRODUCT(
  --('key information'!$X$2:$X$220=$A68),
  --('key information'!$L$2:$L$220=1),
  --('key information'!$F$2:$F$220="['add']"),
  IFERROR(VALUE('key information'!$D$2:$D$220),0)
)</f>
        <v>0</v>
      </c>
      <c r="H68" cm="1">
        <f t="array" ref="H68">SUMPRODUCT(
  --('key information'!$X$2:$X$220=$A68),
  --('key information'!$L$2:$L$220=1),
  --('key information'!$F$2:$F$220="['remove']"),
  IFERROR(VALUE('key information'!$D$2:$D$220),0)
)</f>
        <v>1</v>
      </c>
      <c r="I68" cm="1">
        <f t="array" ref="I68">SUMPRODUCT(
  --('key information'!$X$2:$X$220=$A68),
  --('key information'!$L$2:$L$220=1),
  --('key information'!$F$2:$F$220="['migrate']"),
  IFERROR(VALUE('key information'!$D$2:$D$220),0)
)</f>
        <v>0</v>
      </c>
      <c r="J68">
        <f>COUNTIF('key information'!$X:$X, A68)</f>
        <v>2</v>
      </c>
    </row>
    <row r="69" spans="1:10" x14ac:dyDescent="0.2">
      <c r="A69" s="7" t="s">
        <v>441</v>
      </c>
      <c r="B69" t="s">
        <v>442</v>
      </c>
      <c r="C69" cm="1">
        <f t="array" ref="C69">SUMPRODUCT(--('key information'!$X$2:$X$220=$A69),
            --('key information'!$R$2:$R$220=1))</f>
        <v>2</v>
      </c>
      <c r="D69" cm="1">
        <f t="array" ref="D69">SUMPRODUCT(
  --('key information'!$X$2:$X$220=$A69),
  --('key information'!$L$2:$L$220=1),
  IFERROR(VALUE('key information'!$D$2:$D$220),0)
)</f>
        <v>1</v>
      </c>
      <c r="E69">
        <f>COUNTIF('key information'!X69:X287, codes!A69)</f>
        <v>2</v>
      </c>
      <c r="F69" t="s">
        <v>448</v>
      </c>
      <c r="G69" cm="1">
        <f t="array" ref="G69">SUMPRODUCT(
  --('key information'!$X$2:$X$220=$A69),
  --('key information'!$L$2:$L$220=1),
  --('key information'!$F$2:$F$220="['add']"),
  IFERROR(VALUE('key information'!$D$2:$D$220),0)
)</f>
        <v>0</v>
      </c>
      <c r="H69" cm="1">
        <f t="array" ref="H69">SUMPRODUCT(
  --('key information'!$X$2:$X$220=$A69),
  --('key information'!$L$2:$L$220=1),
  --('key information'!$F$2:$F$220="['remove']"),
  IFERROR(VALUE('key information'!$D$2:$D$220),0)
)</f>
        <v>0</v>
      </c>
      <c r="I69" cm="1">
        <f t="array" ref="I69">SUMPRODUCT(
  --('key information'!$X$2:$X$220=$A69),
  --('key information'!$L$2:$L$220=1),
  --('key information'!$F$2:$F$220="['migrate']"),
  IFERROR(VALUE('key information'!$D$2:$D$220),0)
)</f>
        <v>1</v>
      </c>
      <c r="J69">
        <f>COUNTIF('key information'!$X:$X, A69)</f>
        <v>2</v>
      </c>
    </row>
    <row r="70" spans="1:10" ht="16" customHeight="1" x14ac:dyDescent="0.2">
      <c r="A70" s="7" t="s">
        <v>443</v>
      </c>
      <c r="B70" t="s">
        <v>521</v>
      </c>
      <c r="C70" cm="1">
        <f t="array" ref="C70">SUMPRODUCT(--('key information'!$X$2:$X$220=$A70),
            --('key information'!$R$2:$R$220=1))</f>
        <v>4</v>
      </c>
      <c r="D70" cm="1">
        <f t="array" ref="D70">SUMPRODUCT(
  --('key information'!$X$2:$X$220=$A70),
  --('key information'!$L$2:$L$220=1),
  IFERROR(VALUE('key information'!$D$2:$D$220),0)
)</f>
        <v>1</v>
      </c>
      <c r="E70">
        <f>COUNTIF('key information'!X70:X288, codes!A70)</f>
        <v>4</v>
      </c>
      <c r="F70" t="s">
        <v>380</v>
      </c>
      <c r="G70" cm="1">
        <f t="array" ref="G70">SUMPRODUCT(
  --('key information'!$X$2:$X$220=$A70),
  --('key information'!$L$2:$L$220=1),
  --('key information'!$F$2:$F$220="['add']"),
  IFERROR(VALUE('key information'!$D$2:$D$220),0)
)</f>
        <v>1</v>
      </c>
      <c r="H70" cm="1">
        <f t="array" ref="H70">SUMPRODUCT(
  --('key information'!$X$2:$X$220=$A70),
  --('key information'!$L$2:$L$220=1),
  --('key information'!$F$2:$F$220="['remove']"),
  IFERROR(VALUE('key information'!$D$2:$D$220),0)
)</f>
        <v>0</v>
      </c>
      <c r="I70" cm="1">
        <f t="array" ref="I70">SUMPRODUCT(
  --('key information'!$X$2:$X$220=$A70),
  --('key information'!$L$2:$L$220=1),
  --('key information'!$F$2:$F$220="['migrate']"),
  IFERROR(VALUE('key information'!$D$2:$D$220),0)
)</f>
        <v>0</v>
      </c>
      <c r="J70">
        <f>COUNTIF('key information'!$X:$X, A70)</f>
        <v>4</v>
      </c>
    </row>
    <row r="71" spans="1:10" x14ac:dyDescent="0.2">
      <c r="A71" s="7" t="s">
        <v>522</v>
      </c>
      <c r="B71" t="s">
        <v>523</v>
      </c>
      <c r="C71" cm="1">
        <f t="array" ref="C71">SUMPRODUCT(--('key information'!$X$2:$X$220=$A71),
            --('key information'!$R$2:$R$220=1))</f>
        <v>1</v>
      </c>
      <c r="D71" cm="1">
        <f t="array" ref="D71">SUMPRODUCT(
  --('key information'!$X$2:$X$220=$A71),
  --('key information'!$L$2:$L$220=1),
  IFERROR(VALUE('key information'!$D$2:$D$220),0)
)</f>
        <v>1</v>
      </c>
      <c r="E71">
        <f>COUNTIF('key information'!X71:X289, codes!A71)</f>
        <v>1</v>
      </c>
      <c r="F71" t="s">
        <v>380</v>
      </c>
      <c r="G71" cm="1">
        <f t="array" ref="G71">SUMPRODUCT(
  --('key information'!$X$2:$X$220=$A71),
  --('key information'!$L$2:$L$220=1),
  --('key information'!$F$2:$F$220="['add']"),
  IFERROR(VALUE('key information'!$D$2:$D$220),0)
)</f>
        <v>1</v>
      </c>
      <c r="H71" cm="1">
        <f t="array" ref="H71">SUMPRODUCT(
  --('key information'!$X$2:$X$220=$A71),
  --('key information'!$L$2:$L$220=1),
  --('key information'!$F$2:$F$220="['remove']"),
  IFERROR(VALUE('key information'!$D$2:$D$220),0)
)</f>
        <v>0</v>
      </c>
      <c r="I71" cm="1">
        <f t="array" ref="I71">SUMPRODUCT(
  --('key information'!$X$2:$X$220=$A71),
  --('key information'!$L$2:$L$220=1),
  --('key information'!$F$2:$F$220="['migrate']"),
  IFERROR(VALUE('key information'!$D$2:$D$220),0)
)</f>
        <v>0</v>
      </c>
      <c r="J71">
        <f>COUNTIF('key information'!$X:$X, A71)</f>
        <v>1</v>
      </c>
    </row>
    <row r="86" spans="6:7" x14ac:dyDescent="0.2">
      <c r="F86" s="7"/>
      <c r="G86" s="7"/>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1F12-D15D-A042-87C1-FFD51DBC636F}">
  <dimension ref="A1:S26"/>
  <sheetViews>
    <sheetView zoomScale="120" zoomScaleNormal="120" workbookViewId="0">
      <selection activeCell="C11" sqref="C11"/>
    </sheetView>
  </sheetViews>
  <sheetFormatPr baseColWidth="10" defaultRowHeight="15" x14ac:dyDescent="0.2"/>
  <cols>
    <col min="2" max="2" width="52.1640625" bestFit="1" customWidth="1"/>
    <col min="3" max="3" width="84.1640625" bestFit="1" customWidth="1"/>
    <col min="6" max="6" width="23" bestFit="1" customWidth="1"/>
    <col min="7" max="7" width="9.33203125" bestFit="1" customWidth="1"/>
    <col min="12" max="12" width="16.83203125" bestFit="1" customWidth="1"/>
    <col min="16" max="16" width="17.5" bestFit="1" customWidth="1"/>
    <col min="18" max="18" width="12.5" bestFit="1" customWidth="1"/>
    <col min="19" max="19" width="12.33203125" bestFit="1" customWidth="1"/>
  </cols>
  <sheetData>
    <row r="1" spans="1:19" x14ac:dyDescent="0.2">
      <c r="A1" s="8" t="s">
        <v>278</v>
      </c>
      <c r="B1" s="8" t="s">
        <v>528</v>
      </c>
      <c r="C1" s="8" t="s">
        <v>630</v>
      </c>
      <c r="D1" s="8" t="s">
        <v>446</v>
      </c>
      <c r="E1" s="8" t="s">
        <v>447</v>
      </c>
      <c r="F1" s="8" t="s">
        <v>449</v>
      </c>
      <c r="G1" s="8" t="s">
        <v>544</v>
      </c>
      <c r="H1" s="8" t="s">
        <v>279</v>
      </c>
      <c r="I1" s="8" t="s">
        <v>468</v>
      </c>
      <c r="J1" s="8" t="s">
        <v>469</v>
      </c>
      <c r="K1" s="8" t="s">
        <v>470</v>
      </c>
      <c r="L1" s="8" t="s">
        <v>376</v>
      </c>
      <c r="O1" s="8" t="s">
        <v>447</v>
      </c>
      <c r="P1" s="8" t="s">
        <v>449</v>
      </c>
      <c r="Q1" s="8" t="s">
        <v>468</v>
      </c>
      <c r="R1" s="8" t="s">
        <v>469</v>
      </c>
      <c r="S1" s="8" t="s">
        <v>470</v>
      </c>
    </row>
    <row r="2" spans="1:19" x14ac:dyDescent="0.2">
      <c r="A2" s="7" t="s">
        <v>379</v>
      </c>
      <c r="B2" t="s">
        <v>368</v>
      </c>
      <c r="C2" t="s">
        <v>675</v>
      </c>
      <c r="D2">
        <f>COUNTIF(codes!F:F, 'sub-themes'!A2)</f>
        <v>9</v>
      </c>
      <c r="E2" cm="1">
        <f t="array" ref="E2">SUMPRODUCT(--('key information'!$Y$2:$Y$220=$A2),
            --('key information'!$T$2:$T$220=1))</f>
        <v>28</v>
      </c>
      <c r="F2" cm="1">
        <f t="array" ref="F2">SUMPRODUCT(
  --('key information'!$Y$2:$Y$220=$A2),
  --('key information'!$N$2:$N$220=1),
  IFERROR(VALUE('key information'!$D$2:$D$220),0)
)</f>
        <v>35</v>
      </c>
      <c r="G2">
        <f>COUNTIF('key information'!Y2:Y220, 'sub-themes'!A2)</f>
        <v>28</v>
      </c>
      <c r="H2" t="s">
        <v>282</v>
      </c>
      <c r="I2" cm="1">
        <f t="array" ref="I2">SUMPRODUCT(
  --('key information'!$Y$2:$Y$220=$A2),
  --('key information'!$N$2:$N$220=1),
  --('key information'!$F$2:$F$220="['add']"),
  IFERROR(VALUE('key information'!$D$2:$D$220),0)
)</f>
        <v>35</v>
      </c>
      <c r="J2" cm="1">
        <f t="array" ref="J2">SUMPRODUCT(
  --('key information'!$Y$2:$Y$220=$A2),
  --('key information'!$N$2:$N$220=1),
  --('key information'!$F$2:$F$220="['remove']"),
  IFERROR(VALUE('key information'!$D$2:$D$220),0)
)</f>
        <v>0</v>
      </c>
      <c r="K2" cm="1">
        <f t="array" ref="K2">SUMPRODUCT(
  --('key information'!$Y$2:$Y$220=$A2),
  --('key information'!$N$2:$N$220=1),
  --('key information'!$F$2:$F$220="['migrate']"),
  IFERROR(VALUE('key information'!$D$2:$D$220),0)
)</f>
        <v>0</v>
      </c>
      <c r="L2" t="s">
        <v>378</v>
      </c>
      <c r="O2">
        <f>SUMIF(codes!$F:$F, $A2, codes!$J:$J)</f>
        <v>28</v>
      </c>
      <c r="P2">
        <f>SUMIF(codes!$F:$F, $A2, codes!$D:$D)</f>
        <v>36</v>
      </c>
      <c r="Q2">
        <f>SUMIF(codes!$F:$F, $A2, codes!$G:$G)</f>
        <v>36</v>
      </c>
      <c r="R2">
        <f>SUMIF(codes!$F:$F, $A2, codes!$H:$H)</f>
        <v>0</v>
      </c>
      <c r="S2">
        <f>SUMIF(codes!$F:$F, $A2, codes!$I:$I)</f>
        <v>0</v>
      </c>
    </row>
    <row r="3" spans="1:19" x14ac:dyDescent="0.2">
      <c r="A3" s="7" t="s">
        <v>380</v>
      </c>
      <c r="B3" t="s">
        <v>542</v>
      </c>
      <c r="C3" t="s">
        <v>676</v>
      </c>
      <c r="D3">
        <f>COUNTIF(codes!F:F, 'sub-themes'!A3)</f>
        <v>3</v>
      </c>
      <c r="E3" cm="1">
        <f t="array" ref="E3">SUMPRODUCT(--('key information'!$Y$2:$Y$220=$A3),
            --('key information'!$T$2:$T$220=1))</f>
        <v>14</v>
      </c>
      <c r="F3" cm="1">
        <f t="array" ref="F3">SUMPRODUCT(
  --('key information'!$Y$2:$Y$220=$A3),
  --('key information'!$N$2:$N$220=1),
  IFERROR(VALUE('key information'!$D$2:$D$220),0)
)</f>
        <v>15</v>
      </c>
      <c r="G3">
        <f>COUNTIF('key information'!Y3:Y221, 'sub-themes'!A3)</f>
        <v>14</v>
      </c>
      <c r="H3" t="s">
        <v>283</v>
      </c>
      <c r="I3" cm="1">
        <f t="array" ref="I3">SUMPRODUCT(
  --('key information'!$Y$2:$Y$220=$A3),
  --('key information'!$N$2:$N$220=1),
  --('key information'!$F$2:$F$220="['add']"),
  IFERROR(VALUE('key information'!$D$2:$D$220),0)
)</f>
        <v>15</v>
      </c>
      <c r="J3" cm="1">
        <f t="array" ref="J3">SUMPRODUCT(
  --('key information'!$Y$2:$Y$220=$A3),
  --('key information'!$N$2:$N$220=1),
  --('key information'!$F$2:$F$220="['remove']"),
  IFERROR(VALUE('key information'!$D$2:$D$220),0)
)</f>
        <v>0</v>
      </c>
      <c r="K3" cm="1">
        <f t="array" ref="K3">SUMPRODUCT(
  --('key information'!$Y$2:$Y$220=$A3),
  --('key information'!$N$2:$N$220=1),
  --('key information'!$F$2:$F$220="['migrate']"),
  IFERROR(VALUE('key information'!$D$2:$D$220),0)
)</f>
        <v>0</v>
      </c>
      <c r="L3" t="s">
        <v>378</v>
      </c>
      <c r="O3">
        <f>SUMIF(codes!$F:$F, $A3, codes!$J:$J)</f>
        <v>14</v>
      </c>
      <c r="P3">
        <f>SUMIF(codes!$F:$F, $A3, codes!$D:$D)</f>
        <v>15</v>
      </c>
      <c r="Q3">
        <f>SUMIF(codes!$F:$F, $A3, codes!$G:$G)</f>
        <v>15</v>
      </c>
      <c r="R3">
        <f>SUMIF(codes!$F:$F, $A3, codes!$H:$H)</f>
        <v>0</v>
      </c>
      <c r="S3">
        <f>SUMIF(codes!$F:$F, $A3, codes!$I:$I)</f>
        <v>0</v>
      </c>
    </row>
    <row r="4" spans="1:19" x14ac:dyDescent="0.2">
      <c r="A4" s="7" t="s">
        <v>381</v>
      </c>
      <c r="B4" t="s">
        <v>369</v>
      </c>
      <c r="C4" t="s">
        <v>677</v>
      </c>
      <c r="D4">
        <f>COUNTIF(codes!F:F, 'sub-themes'!A4)</f>
        <v>8</v>
      </c>
      <c r="E4" cm="1">
        <f t="array" ref="E4">SUMPRODUCT(--('key information'!$Y$2:$Y$220=$A4),
            --('key information'!$T$2:$T$220=1))</f>
        <v>22</v>
      </c>
      <c r="F4" cm="1">
        <f t="array" ref="F4">SUMPRODUCT(
  --('key information'!$Y$2:$Y$220=$A4),
  --('key information'!$N$2:$N$220=1),
  IFERROR(VALUE('key information'!$D$2:$D$220),0)
)</f>
        <v>62</v>
      </c>
      <c r="G4">
        <f>COUNTIF('key information'!Y4:Y222, 'sub-themes'!A4)</f>
        <v>25</v>
      </c>
      <c r="H4" t="s">
        <v>282</v>
      </c>
      <c r="I4" cm="1">
        <f t="array" ref="I4">SUMPRODUCT(
  --('key information'!$Y$2:$Y$220=$A4),
  --('key information'!$N$2:$N$220=1),
  --('key information'!$F$2:$F$220="['add']"),
  IFERROR(VALUE('key information'!$D$2:$D$220),0)
)</f>
        <v>62</v>
      </c>
      <c r="J4" cm="1">
        <f t="array" ref="J4">SUMPRODUCT(
  --('key information'!$Y$2:$Y$220=$A4),
  --('key information'!$N$2:$N$220=1),
  --('key information'!$F$2:$F$220="['remove']"),
  IFERROR(VALUE('key information'!$D$2:$D$220),0)
)</f>
        <v>0</v>
      </c>
      <c r="K4" cm="1">
        <f t="array" ref="K4">SUMPRODUCT(
  --('key information'!$Y$2:$Y$220=$A4),
  --('key information'!$N$2:$N$220=1),
  --('key information'!$F$2:$F$220="['migrate']"),
  IFERROR(VALUE('key information'!$D$2:$D$220),0)
)</f>
        <v>0</v>
      </c>
      <c r="L4" t="s">
        <v>378</v>
      </c>
      <c r="O4">
        <f>SUMIF(codes!$F:$F, $A4, codes!$J:$J)</f>
        <v>25</v>
      </c>
      <c r="P4">
        <f>SUMIF(codes!$F:$F, $A4, codes!$D:$D)</f>
        <v>62</v>
      </c>
      <c r="Q4">
        <f>SUMIF(codes!$F:$F, $A4, codes!$G:$G)</f>
        <v>62</v>
      </c>
      <c r="R4">
        <f>SUMIF(codes!$F:$F, $A4, codes!$H:$H)</f>
        <v>0</v>
      </c>
      <c r="S4">
        <f>SUMIF(codes!$F:$F, $A4, codes!$I:$I)</f>
        <v>0</v>
      </c>
    </row>
    <row r="5" spans="1:19" x14ac:dyDescent="0.2">
      <c r="A5" s="7" t="s">
        <v>448</v>
      </c>
      <c r="B5" t="s">
        <v>518</v>
      </c>
      <c r="C5" t="s">
        <v>678</v>
      </c>
      <c r="D5">
        <f>COUNTIF(codes!F:F, 'sub-themes'!A5)</f>
        <v>4</v>
      </c>
      <c r="E5" cm="1">
        <f t="array" ref="E5">SUMPRODUCT(--('key information'!$Y$2:$Y$220=$A5),
            --('key information'!$T$2:$T$220=1))</f>
        <v>9</v>
      </c>
      <c r="F5" cm="1">
        <f t="array" ref="F5">SUMPRODUCT(
  --('key information'!$Y$2:$Y$220=$A5),
  --('key information'!$N$2:$N$220=1),
  IFERROR(VALUE('key information'!$D$2:$D$220),0)
)</f>
        <v>11</v>
      </c>
      <c r="G5">
        <f>COUNTIF('key information'!Y5:Y223, 'sub-themes'!A5)</f>
        <v>9</v>
      </c>
      <c r="H5" t="s">
        <v>290</v>
      </c>
      <c r="I5" cm="1">
        <f t="array" ref="I5">SUMPRODUCT(
  --('key information'!$Y$2:$Y$220=$A5),
  --('key information'!$N$2:$N$220=1),
  --('key information'!$F$2:$F$220="['add']"),
  IFERROR(VALUE('key information'!$D$2:$D$220),0)
)</f>
        <v>0</v>
      </c>
      <c r="J5" cm="1">
        <f t="array" ref="J5">SUMPRODUCT(
  --('key information'!$Y$2:$Y$220=$A5),
  --('key information'!$N$2:$N$220=1),
  --('key information'!$F$2:$F$220="['remove']"),
  IFERROR(VALUE('key information'!$D$2:$D$220),0)
)</f>
        <v>1</v>
      </c>
      <c r="K5" cm="1">
        <f t="array" ref="K5">SUMPRODUCT(
  --('key information'!$Y$2:$Y$220=$A5),
  --('key information'!$N$2:$N$220=1),
  --('key information'!$F$2:$F$220="['migrate']"),
  IFERROR(VALUE('key information'!$D$2:$D$220),0)
)</f>
        <v>10</v>
      </c>
      <c r="L5" t="s">
        <v>471</v>
      </c>
      <c r="O5">
        <f>SUMIF(codes!$F:$F, $A5, codes!$J:$J)</f>
        <v>9</v>
      </c>
      <c r="P5">
        <f>SUMIF(codes!$F:$F, $A5, codes!$D:$D)</f>
        <v>11</v>
      </c>
      <c r="Q5">
        <f>SUMIF(codes!$F:$F, $A5, codes!$G:$G)</f>
        <v>0</v>
      </c>
      <c r="R5">
        <f>SUMIF(codes!$F:$F, $A5, codes!$H:$H)</f>
        <v>1</v>
      </c>
      <c r="S5">
        <f>SUMIF(codes!$F:$F, $A5, codes!$I:$I)</f>
        <v>10</v>
      </c>
    </row>
    <row r="6" spans="1:19" x14ac:dyDescent="0.2">
      <c r="A6" s="7" t="s">
        <v>382</v>
      </c>
      <c r="B6" t="s">
        <v>372</v>
      </c>
      <c r="C6" t="s">
        <v>679</v>
      </c>
      <c r="D6">
        <f>COUNTIF(codes!F:F, 'sub-themes'!A6)</f>
        <v>4</v>
      </c>
      <c r="E6" cm="1">
        <f t="array" ref="E6">SUMPRODUCT(--('key information'!$Y$2:$Y$220=$A6),
            --('key information'!$T$2:$T$220=1))</f>
        <v>6</v>
      </c>
      <c r="F6" cm="1">
        <f t="array" ref="F6">SUMPRODUCT(
  --('key information'!$Y$2:$Y$220=$A6),
  --('key information'!$N$2:$N$220=1),
  IFERROR(VALUE('key information'!$D$2:$D$220),0)
)</f>
        <v>13</v>
      </c>
      <c r="G6">
        <f>COUNTIF('key information'!Y6:Y224, 'sub-themes'!A6)</f>
        <v>6</v>
      </c>
      <c r="H6" t="s">
        <v>290</v>
      </c>
      <c r="I6" cm="1">
        <f t="array" ref="I6">SUMPRODUCT(
  --('key information'!$Y$2:$Y$220=$A6),
  --('key information'!$N$2:$N$220=1),
  --('key information'!$F$2:$F$220="['add']"),
  IFERROR(VALUE('key information'!$D$2:$D$220),0)
)</f>
        <v>5</v>
      </c>
      <c r="J6" cm="1">
        <f t="array" ref="J6">SUMPRODUCT(
  --('key information'!$Y$2:$Y$220=$A6),
  --('key information'!$N$2:$N$220=1),
  --('key information'!$F$2:$F$220="['remove']"),
  IFERROR(VALUE('key information'!$D$2:$D$220),0)
)</f>
        <v>0</v>
      </c>
      <c r="K6" cm="1">
        <f t="array" ref="K6">SUMPRODUCT(
  --('key information'!$Y$2:$Y$220=$A6),
  --('key information'!$N$2:$N$220=1),
  --('key information'!$F$2:$F$220="['migrate']"),
  IFERROR(VALUE('key information'!$D$2:$D$220),0)
)</f>
        <v>8</v>
      </c>
      <c r="L6" t="s">
        <v>471</v>
      </c>
      <c r="O6">
        <f>SUMIF(codes!$F:$F, $A6, codes!$J:$J)</f>
        <v>6</v>
      </c>
      <c r="P6">
        <f>SUMIF(codes!$F:$F, $A6, codes!$D:$D)</f>
        <v>13</v>
      </c>
      <c r="Q6">
        <f>SUMIF(codes!$F:$F, $A6, codes!$G:$G)</f>
        <v>5</v>
      </c>
      <c r="R6">
        <f>SUMIF(codes!$F:$F, $A6, codes!$H:$H)</f>
        <v>0</v>
      </c>
      <c r="S6">
        <f>SUMIF(codes!$F:$F, $A6, codes!$I:$I)</f>
        <v>8</v>
      </c>
    </row>
    <row r="7" spans="1:19" x14ac:dyDescent="0.2">
      <c r="A7" s="7" t="s">
        <v>383</v>
      </c>
      <c r="B7" t="s">
        <v>629</v>
      </c>
      <c r="C7" t="s">
        <v>687</v>
      </c>
      <c r="D7">
        <f>COUNTIF(codes!F:F, 'sub-themes'!A7)</f>
        <v>2</v>
      </c>
      <c r="E7" cm="1">
        <f t="array" ref="E7">SUMPRODUCT(--('key information'!$Y$2:$Y$220=$A7),
            --('key information'!$T$2:$T$220=1))</f>
        <v>4</v>
      </c>
      <c r="F7" cm="1">
        <f t="array" ref="F7">SUMPRODUCT(
  --('key information'!$Y$2:$Y$220=$A7),
  --('key information'!$N$2:$N$220=1),
  IFERROR(VALUE('key information'!$D$2:$D$220),0)
)</f>
        <v>6</v>
      </c>
      <c r="G7">
        <f>COUNTIF('key information'!Y7:Y225, 'sub-themes'!A7)</f>
        <v>4</v>
      </c>
      <c r="H7" t="s">
        <v>293</v>
      </c>
      <c r="I7" cm="1">
        <f t="array" ref="I7">SUMPRODUCT(
  --('key information'!$Y$2:$Y$220=$A7),
  --('key information'!$N$2:$N$220=1),
  --('key information'!$F$2:$F$220="['add']"),
  IFERROR(VALUE('key information'!$D$2:$D$220),0)
)</f>
        <v>2</v>
      </c>
      <c r="J7" cm="1">
        <f t="array" ref="J7">SUMPRODUCT(
  --('key information'!$Y$2:$Y$220=$A7),
  --('key information'!$N$2:$N$220=1),
  --('key information'!$F$2:$F$220="['remove']"),
  IFERROR(VALUE('key information'!$D$2:$D$220),0)
)</f>
        <v>0</v>
      </c>
      <c r="K7" cm="1">
        <f t="array" ref="K7">SUMPRODUCT(
  --('key information'!$Y$2:$Y$220=$A7),
  --('key information'!$N$2:$N$220=1),
  --('key information'!$F$2:$F$220="['migrate']"),
  IFERROR(VALUE('key information'!$D$2:$D$220),0)
)</f>
        <v>4</v>
      </c>
      <c r="L7" t="s">
        <v>471</v>
      </c>
      <c r="O7">
        <f>SUMIF(codes!$F:$F, $A7, codes!$J:$J)</f>
        <v>4</v>
      </c>
      <c r="P7">
        <f>SUMIF(codes!$F:$F, $A7, codes!$D:$D)</f>
        <v>6</v>
      </c>
      <c r="Q7">
        <f>SUMIF(codes!$F:$F, $A7, codes!$G:$G)</f>
        <v>2</v>
      </c>
      <c r="R7">
        <f>SUMIF(codes!$F:$F, $A7, codes!$H:$H)</f>
        <v>0</v>
      </c>
      <c r="S7">
        <f>SUMIF(codes!$F:$F, $A7, codes!$I:$I)</f>
        <v>4</v>
      </c>
    </row>
    <row r="8" spans="1:19" x14ac:dyDescent="0.2">
      <c r="A8" s="7" t="s">
        <v>384</v>
      </c>
      <c r="B8" t="s">
        <v>504</v>
      </c>
      <c r="C8" t="s">
        <v>680</v>
      </c>
      <c r="D8">
        <f>COUNTIF(codes!F:F, 'sub-themes'!A8)</f>
        <v>2</v>
      </c>
      <c r="E8" cm="1">
        <f t="array" ref="E8">SUMPRODUCT(--('key information'!$Y$2:$Y$220=$A8),
            --('key information'!$T$2:$T$220=1))</f>
        <v>2</v>
      </c>
      <c r="F8" cm="1">
        <f t="array" ref="F8">SUMPRODUCT(
  --('key information'!$Y$2:$Y$220=$A8),
  --('key information'!$N$2:$N$220=1),
  IFERROR(VALUE('key information'!$D$2:$D$220),0)
)</f>
        <v>3</v>
      </c>
      <c r="G8">
        <f>COUNTIF('key information'!Y8:Y226, 'sub-themes'!A8)</f>
        <v>5</v>
      </c>
      <c r="H8" t="s">
        <v>290</v>
      </c>
      <c r="I8" cm="1">
        <f t="array" ref="I8">SUMPRODUCT(
  --('key information'!$Y$2:$Y$220=$A8),
  --('key information'!$N$2:$N$220=1),
  --('key information'!$F$2:$F$220="['add']"),
  IFERROR(VALUE('key information'!$D$2:$D$220),0)
)</f>
        <v>1</v>
      </c>
      <c r="J8" cm="1">
        <f t="array" ref="J8">SUMPRODUCT(
  --('key information'!$Y$2:$Y$220=$A8),
  --('key information'!$N$2:$N$220=1),
  --('key information'!$F$2:$F$220="['remove']"),
  IFERROR(VALUE('key information'!$D$2:$D$220),0)
)</f>
        <v>0</v>
      </c>
      <c r="K8" cm="1">
        <f t="array" ref="K8">SUMPRODUCT(
  --('key information'!$Y$2:$Y$220=$A8),
  --('key information'!$N$2:$N$220=1),
  --('key information'!$F$2:$F$220="['migrate']"),
  IFERROR(VALUE('key information'!$D$2:$D$220),0)
)</f>
        <v>2</v>
      </c>
      <c r="L8" t="s">
        <v>471</v>
      </c>
      <c r="O8">
        <f>SUMIF(codes!$F:$F, $A8, codes!$J:$J)</f>
        <v>5</v>
      </c>
      <c r="P8">
        <f>SUMIF(codes!$F:$F, $A8, codes!$D:$D)</f>
        <v>5</v>
      </c>
      <c r="Q8">
        <f>SUMIF(codes!$F:$F, $A8, codes!$G:$G)</f>
        <v>2</v>
      </c>
      <c r="R8">
        <f>SUMIF(codes!$F:$F, $A8, codes!$H:$H)</f>
        <v>0</v>
      </c>
      <c r="S8">
        <f>SUMIF(codes!$F:$F, $A8, codes!$I:$I)</f>
        <v>3</v>
      </c>
    </row>
    <row r="9" spans="1:19" x14ac:dyDescent="0.2">
      <c r="A9" s="7" t="s">
        <v>385</v>
      </c>
      <c r="B9" t="s">
        <v>373</v>
      </c>
      <c r="C9" t="s">
        <v>681</v>
      </c>
      <c r="D9">
        <f>COUNTIF(codes!F:F, 'sub-themes'!A9)</f>
        <v>4</v>
      </c>
      <c r="E9" cm="1">
        <f t="array" ref="E9">SUMPRODUCT(--('key information'!$Y$2:$Y$220=$A9),
            --('key information'!$T$2:$T$220=1))</f>
        <v>10</v>
      </c>
      <c r="F9" cm="1">
        <f t="array" ref="F9">SUMPRODUCT(
  --('key information'!$Y$2:$Y$220=$A9),
  --('key information'!$N$2:$N$220=1),
  IFERROR(VALUE('key information'!$D$2:$D$220),0)
)</f>
        <v>14</v>
      </c>
      <c r="G9">
        <f>COUNTIF('key information'!Y9:Y227, 'sub-themes'!A9)</f>
        <v>9</v>
      </c>
      <c r="H9" t="s">
        <v>284</v>
      </c>
      <c r="I9" cm="1">
        <f t="array" ref="I9">SUMPRODUCT(
  --('key information'!$Y$2:$Y$220=$A9),
  --('key information'!$N$2:$N$220=1),
  --('key information'!$F$2:$F$220="['add']"),
  IFERROR(VALUE('key information'!$D$2:$D$220),0)
)</f>
        <v>14</v>
      </c>
      <c r="J9" cm="1">
        <f t="array" ref="J9">SUMPRODUCT(
  --('key information'!$Y$2:$Y$220=$A9),
  --('key information'!$N$2:$N$220=1),
  --('key information'!$F$2:$F$220="['remove']"),
  IFERROR(VALUE('key information'!$D$2:$D$220),0)
)</f>
        <v>0</v>
      </c>
      <c r="K9" cm="1">
        <f t="array" ref="K9">SUMPRODUCT(
  --('key information'!$Y$2:$Y$220=$A9),
  --('key information'!$N$2:$N$220=1),
  --('key information'!$F$2:$F$220="['migrate']"),
  IFERROR(VALUE('key information'!$D$2:$D$220),0)
)</f>
        <v>0</v>
      </c>
      <c r="L9" t="s">
        <v>378</v>
      </c>
      <c r="O9">
        <f>SUMIF(codes!$F:$F, $A9, codes!$J:$J)</f>
        <v>10</v>
      </c>
      <c r="P9">
        <f>SUMIF(codes!$F:$F, $A9, codes!$D:$D)</f>
        <v>14</v>
      </c>
      <c r="Q9">
        <f>SUMIF(codes!$F:$F, $A9, codes!$G:$G)</f>
        <v>14</v>
      </c>
      <c r="R9">
        <f>SUMIF(codes!$F:$F, $A9, codes!$H:$H)</f>
        <v>0</v>
      </c>
      <c r="S9">
        <f>SUMIF(codes!$F:$F, $A9, codes!$I:$I)</f>
        <v>0</v>
      </c>
    </row>
    <row r="10" spans="1:19" x14ac:dyDescent="0.2">
      <c r="A10" s="7" t="s">
        <v>386</v>
      </c>
      <c r="B10" t="s">
        <v>541</v>
      </c>
      <c r="C10" t="s">
        <v>688</v>
      </c>
      <c r="D10">
        <f>COUNTIF(codes!F:F, 'sub-themes'!A10)</f>
        <v>2</v>
      </c>
      <c r="E10" cm="1">
        <f t="array" ref="E10">SUMPRODUCT(--('key information'!$Y$2:$Y$220=$A10),
            --('key information'!$T$2:$T$220=1))</f>
        <v>9</v>
      </c>
      <c r="F10" cm="1">
        <f t="array" ref="F10">SUMPRODUCT(
  --('key information'!$Y$2:$Y$220=$A10),
  --('key information'!$N$2:$N$220=1),
  IFERROR(VALUE('key information'!$D$2:$D$220),0)
)</f>
        <v>35</v>
      </c>
      <c r="G10">
        <f>COUNTIF('key information'!Y10:Y228, 'sub-themes'!A10)</f>
        <v>9</v>
      </c>
      <c r="H10" t="s">
        <v>284</v>
      </c>
      <c r="I10" cm="1">
        <f t="array" ref="I10">SUMPRODUCT(
  --('key information'!$Y$2:$Y$220=$A10),
  --('key information'!$N$2:$N$220=1),
  --('key information'!$F$2:$F$220="['add']"),
  IFERROR(VALUE('key information'!$D$2:$D$220),0)
)</f>
        <v>35</v>
      </c>
      <c r="J10" cm="1">
        <f t="array" ref="J10">SUMPRODUCT(
  --('key information'!$Y$2:$Y$220=$A10),
  --('key information'!$N$2:$N$220=1),
  --('key information'!$F$2:$F$220="['remove']"),
  IFERROR(VALUE('key information'!$D$2:$D$220),0)
)</f>
        <v>0</v>
      </c>
      <c r="K10" cm="1">
        <f t="array" ref="K10">SUMPRODUCT(
  --('key information'!$Y$2:$Y$220=$A10),
  --('key information'!$N$2:$N$220=1),
  --('key information'!$F$2:$F$220="['migrate']"),
  IFERROR(VALUE('key information'!$D$2:$D$220),0)
)</f>
        <v>0</v>
      </c>
      <c r="L10" t="s">
        <v>378</v>
      </c>
      <c r="O10">
        <f>SUMIF(codes!$F:$F, $A10, codes!$J:$J)</f>
        <v>9</v>
      </c>
      <c r="P10">
        <f>SUMIF(codes!$F:$F, $A10, codes!$D:$D)</f>
        <v>35</v>
      </c>
      <c r="Q10">
        <f>SUMIF(codes!$F:$F, $A10, codes!$G:$G)</f>
        <v>35</v>
      </c>
      <c r="R10">
        <f>SUMIF(codes!$F:$F, $A10, codes!$H:$H)</f>
        <v>0</v>
      </c>
      <c r="S10">
        <f>SUMIF(codes!$F:$F, $A10, codes!$I:$I)</f>
        <v>0</v>
      </c>
    </row>
    <row r="11" spans="1:19" x14ac:dyDescent="0.2">
      <c r="A11" s="7" t="s">
        <v>387</v>
      </c>
      <c r="B11" t="s">
        <v>463</v>
      </c>
      <c r="C11" t="s">
        <v>682</v>
      </c>
      <c r="D11">
        <f>COUNTIF(codes!F:F, 'sub-themes'!A11)</f>
        <v>4</v>
      </c>
      <c r="E11" cm="1">
        <f t="array" ref="E11">SUMPRODUCT(--('key information'!$Y$2:$Y$220=$A11),
            --('key information'!$T$2:$T$220=1))</f>
        <v>8</v>
      </c>
      <c r="F11" cm="1">
        <f t="array" ref="F11">SUMPRODUCT(
  --('key information'!$Y$2:$Y$220=$A11),
  --('key information'!$N$2:$N$220=1),
  IFERROR(VALUE('key information'!$D$2:$D$220),0)
)</f>
        <v>13</v>
      </c>
      <c r="G11">
        <f>COUNTIF('key information'!Y11:Y229, 'sub-themes'!A11)</f>
        <v>8</v>
      </c>
      <c r="H11" t="s">
        <v>293</v>
      </c>
      <c r="I11" cm="1">
        <f t="array" ref="I11">SUMPRODUCT(
  --('key information'!$Y$2:$Y$220=$A11),
  --('key information'!$N$2:$N$220=1),
  --('key information'!$F$2:$F$220="['add']"),
  IFERROR(VALUE('key information'!$D$2:$D$220),0)
)</f>
        <v>13</v>
      </c>
      <c r="J11" cm="1">
        <f t="array" ref="J11">SUMPRODUCT(
  --('key information'!$Y$2:$Y$220=$A11),
  --('key information'!$N$2:$N$220=1),
  --('key information'!$F$2:$F$220="['remove']"),
  IFERROR(VALUE('key information'!$D$2:$D$220),0)
)</f>
        <v>0</v>
      </c>
      <c r="K11" cm="1">
        <f t="array" ref="K11">SUMPRODUCT(
  --('key information'!$Y$2:$Y$220=$A11),
  --('key information'!$N$2:$N$220=1),
  --('key information'!$F$2:$F$220="['migrate']"),
  IFERROR(VALUE('key information'!$D$2:$D$220),0)
)</f>
        <v>0</v>
      </c>
      <c r="L11" t="s">
        <v>378</v>
      </c>
      <c r="O11">
        <f>SUMIF(codes!$F:$F, $A11, codes!$J:$J)</f>
        <v>8</v>
      </c>
      <c r="P11">
        <f>SUMIF(codes!$F:$F, $A11, codes!$D:$D)</f>
        <v>13</v>
      </c>
      <c r="Q11">
        <f>SUMIF(codes!$F:$F, $A11, codes!$G:$G)</f>
        <v>13</v>
      </c>
      <c r="R11">
        <f>SUMIF(codes!$F:$F, $A11, codes!$H:$H)</f>
        <v>0</v>
      </c>
      <c r="S11">
        <f>SUMIF(codes!$F:$F, $A11, codes!$I:$I)</f>
        <v>0</v>
      </c>
    </row>
    <row r="12" spans="1:19" x14ac:dyDescent="0.2">
      <c r="A12" s="7" t="s">
        <v>388</v>
      </c>
      <c r="B12" t="s">
        <v>371</v>
      </c>
      <c r="C12" t="s">
        <v>689</v>
      </c>
      <c r="D12">
        <f>COUNTIF(codes!F:F, 'sub-themes'!A12)</f>
        <v>6</v>
      </c>
      <c r="E12" cm="1">
        <f t="array" ref="E12">SUMPRODUCT(--('key information'!$Y$2:$Y$220=$A12),
            --('key information'!$T$2:$T$220=1))</f>
        <v>15</v>
      </c>
      <c r="F12" cm="1">
        <f t="array" ref="F12">SUMPRODUCT(
  --('key information'!$Y$2:$Y$220=$A12),
  --('key information'!$N$2:$N$220=1),
  IFERROR(VALUE('key information'!$D$2:$D$220),0)
)</f>
        <v>9</v>
      </c>
      <c r="G12">
        <f>COUNTIF('key information'!Y12:Y230, 'sub-themes'!A12)</f>
        <v>13</v>
      </c>
      <c r="H12" t="s">
        <v>282</v>
      </c>
      <c r="I12" cm="1">
        <f t="array" ref="I12">SUMPRODUCT(
  --('key information'!$Y$2:$Y$220=$A12),
  --('key information'!$N$2:$N$220=1),
  --('key information'!$F$2:$F$220="['add']"),
  IFERROR(VALUE('key information'!$D$2:$D$220),0)
)</f>
        <v>9</v>
      </c>
      <c r="J12" cm="1">
        <f t="array" ref="J12">SUMPRODUCT(
  --('key information'!$Y$2:$Y$220=$A12),
  --('key information'!$N$2:$N$220=1),
  --('key information'!$F$2:$F$220="['remove']"),
  IFERROR(VALUE('key information'!$D$2:$D$220),0)
)</f>
        <v>0</v>
      </c>
      <c r="K12" cm="1">
        <f t="array" ref="K12">SUMPRODUCT(
  --('key information'!$Y$2:$Y$220=$A12),
  --('key information'!$N$2:$N$220=1),
  --('key information'!$F$2:$F$220="['migrate']"),
  IFERROR(VALUE('key information'!$D$2:$D$220),0)
)</f>
        <v>0</v>
      </c>
      <c r="L12" t="s">
        <v>378</v>
      </c>
      <c r="O12">
        <f>SUMIF(codes!$F:$F, $A12, codes!$J:$J)</f>
        <v>15</v>
      </c>
      <c r="P12">
        <f>SUMIF(codes!$F:$F, $A12, codes!$D:$D)</f>
        <v>9</v>
      </c>
      <c r="Q12">
        <f>SUMIF(codes!$F:$F, $A12, codes!$G:$G)</f>
        <v>9</v>
      </c>
      <c r="R12">
        <f>SUMIF(codes!$F:$F, $A12, codes!$H:$H)</f>
        <v>0</v>
      </c>
      <c r="S12">
        <f>SUMIF(codes!$F:$F, $A12, codes!$I:$I)</f>
        <v>0</v>
      </c>
    </row>
    <row r="13" spans="1:19" x14ac:dyDescent="0.2">
      <c r="A13" s="7" t="s">
        <v>389</v>
      </c>
      <c r="B13" t="s">
        <v>171</v>
      </c>
      <c r="C13" t="s">
        <v>690</v>
      </c>
      <c r="D13">
        <f>COUNTIF(codes!F:F, 'sub-themes'!A13)</f>
        <v>1</v>
      </c>
      <c r="E13" cm="1">
        <f t="array" ref="E13">SUMPRODUCT(--('key information'!$Y$2:$Y$220=$A13),
            --('key information'!$T$2:$T$220=1))</f>
        <v>2</v>
      </c>
      <c r="F13" cm="1">
        <f t="array" ref="F13">SUMPRODUCT(
  --('key information'!$Y$2:$Y$220=$A13),
  --('key information'!$N$2:$N$220=1),
  IFERROR(VALUE('key information'!$D$2:$D$220),0)
)</f>
        <v>2</v>
      </c>
      <c r="G13">
        <f>COUNTIF('key information'!Y13:Y231, 'sub-themes'!A13)</f>
        <v>2</v>
      </c>
      <c r="H13" t="s">
        <v>284</v>
      </c>
      <c r="I13" cm="1">
        <f t="array" ref="I13">SUMPRODUCT(
  --('key information'!$Y$2:$Y$220=$A13),
  --('key information'!$N$2:$N$220=1),
  --('key information'!$F$2:$F$220="['add']"),
  IFERROR(VALUE('key information'!$D$2:$D$220),0)
)</f>
        <v>0</v>
      </c>
      <c r="J13" cm="1">
        <f t="array" ref="J13">SUMPRODUCT(
  --('key information'!$Y$2:$Y$220=$A13),
  --('key information'!$N$2:$N$220=1),
  --('key information'!$F$2:$F$220="['remove']"),
  IFERROR(VALUE('key information'!$D$2:$D$220),0)
)</f>
        <v>2</v>
      </c>
      <c r="K13" cm="1">
        <f t="array" ref="K13">SUMPRODUCT(
  --('key information'!$Y$2:$Y$220=$A13),
  --('key information'!$N$2:$N$220=1),
  --('key information'!$F$2:$F$220="['migrate']"),
  IFERROR(VALUE('key information'!$D$2:$D$220),0)
)</f>
        <v>0</v>
      </c>
      <c r="L13" t="s">
        <v>377</v>
      </c>
      <c r="O13">
        <f>SUMIF(codes!$F:$F, $A13, codes!$J:$J)</f>
        <v>2</v>
      </c>
      <c r="P13">
        <f>SUMIF(codes!$F:$F, $A13, codes!$D:$D)</f>
        <v>2</v>
      </c>
      <c r="Q13">
        <f>SUMIF(codes!$F:$F, $A13, codes!$G:$G)</f>
        <v>0</v>
      </c>
      <c r="R13">
        <f>SUMIF(codes!$F:$F, $A13, codes!$H:$H)</f>
        <v>2</v>
      </c>
      <c r="S13">
        <f>SUMIF(codes!$F:$F, $A13, codes!$I:$I)</f>
        <v>0</v>
      </c>
    </row>
    <row r="14" spans="1:19" ht="16" x14ac:dyDescent="0.2">
      <c r="A14" s="7" t="s">
        <v>456</v>
      </c>
      <c r="B14" s="3" t="s">
        <v>457</v>
      </c>
      <c r="C14" s="2" t="s">
        <v>691</v>
      </c>
      <c r="D14">
        <f>COUNTIF(codes!F:F, 'sub-themes'!A14)</f>
        <v>3</v>
      </c>
      <c r="E14" cm="1">
        <f t="array" ref="E14">SUMPRODUCT(--('key information'!$Y$2:$Y$220=$A14),
            --('key information'!$T$2:$T$220=1))</f>
        <v>17</v>
      </c>
      <c r="F14" cm="1">
        <f t="array" ref="F14">SUMPRODUCT(
  --('key information'!$Y$2:$Y$220=$A14),
  --('key information'!$N$2:$N$220=1),
  IFERROR(VALUE('key information'!$D$2:$D$220),0)
)</f>
        <v>52</v>
      </c>
      <c r="G14">
        <f>COUNTIF('key information'!Y14:Y232, 'sub-themes'!A14)</f>
        <v>16</v>
      </c>
      <c r="H14" t="s">
        <v>284</v>
      </c>
      <c r="I14" cm="1">
        <f t="array" ref="I14">SUMPRODUCT(
  --('key information'!$Y$2:$Y$220=$A14),
  --('key information'!$N$2:$N$220=1),
  --('key information'!$F$2:$F$220="['add']"),
  IFERROR(VALUE('key information'!$D$2:$D$220),0)
)</f>
        <v>52</v>
      </c>
      <c r="J14" cm="1">
        <f t="array" ref="J14">SUMPRODUCT(
  --('key information'!$Y$2:$Y$220=$A14),
  --('key information'!$N$2:$N$220=1),
  --('key information'!$F$2:$F$220="['remove']"),
  IFERROR(VALUE('key information'!$D$2:$D$220),0)
)</f>
        <v>0</v>
      </c>
      <c r="K14" cm="1">
        <f t="array" ref="K14">SUMPRODUCT(
  --('key information'!$Y$2:$Y$220=$A14),
  --('key information'!$N$2:$N$220=1),
  --('key information'!$F$2:$F$220="['migrate']"),
  IFERROR(VALUE('key information'!$D$2:$D$220),0)
)</f>
        <v>0</v>
      </c>
      <c r="L14" s="3" t="s">
        <v>378</v>
      </c>
      <c r="O14">
        <f>SUMIF(codes!$F:$F, $A14, codes!$J:$J)</f>
        <v>17</v>
      </c>
      <c r="P14">
        <f>SUMIF(codes!$F:$F, $A14, codes!$D:$D)</f>
        <v>52</v>
      </c>
      <c r="Q14">
        <f>SUMIF(codes!$F:$F, $A14, codes!$G:$G)</f>
        <v>52</v>
      </c>
      <c r="R14">
        <f>SUMIF(codes!$F:$F, $A14, codes!$H:$H)</f>
        <v>0</v>
      </c>
      <c r="S14">
        <f>SUMIF(codes!$F:$F, $A14, codes!$I:$I)</f>
        <v>0</v>
      </c>
    </row>
    <row r="15" spans="1:19" x14ac:dyDescent="0.2">
      <c r="A15" s="7" t="s">
        <v>459</v>
      </c>
      <c r="B15" s="3" t="s">
        <v>460</v>
      </c>
      <c r="C15" t="s">
        <v>692</v>
      </c>
      <c r="D15">
        <f>COUNTIF(codes!F:F, 'sub-themes'!A15)</f>
        <v>2</v>
      </c>
      <c r="E15" cm="1">
        <f t="array" ref="E15">SUMPRODUCT(--('key information'!$Y$2:$Y$220=$A15),
            --('key information'!$T$2:$T$220=1))</f>
        <v>9</v>
      </c>
      <c r="F15" cm="1">
        <f t="array" ref="F15">SUMPRODUCT(
  --('key information'!$Y$2:$Y$220=$A15),
  --('key information'!$N$2:$N$220=1),
  IFERROR(VALUE('key information'!$D$2:$D$220),0)
)</f>
        <v>8</v>
      </c>
      <c r="G15">
        <f>COUNTIF('key information'!Y15:Y233, 'sub-themes'!A15)</f>
        <v>6</v>
      </c>
      <c r="H15" t="s">
        <v>283</v>
      </c>
      <c r="I15" cm="1">
        <f t="array" ref="I15">SUMPRODUCT(
  --('key information'!$Y$2:$Y$220=$A15),
  --('key information'!$N$2:$N$220=1),
  --('key information'!$F$2:$F$220="['add']"),
  IFERROR(VALUE('key information'!$D$2:$D$220),0)
)</f>
        <v>8</v>
      </c>
      <c r="J15" cm="1">
        <f t="array" ref="J15">SUMPRODUCT(
  --('key information'!$Y$2:$Y$220=$A15),
  --('key information'!$N$2:$N$220=1),
  --('key information'!$F$2:$F$220="['remove']"),
  IFERROR(VALUE('key information'!$D$2:$D$220),0)
)</f>
        <v>0</v>
      </c>
      <c r="K15" cm="1">
        <f t="array" ref="K15">SUMPRODUCT(
  --('key information'!$Y$2:$Y$220=$A15),
  --('key information'!$N$2:$N$220=1),
  --('key information'!$F$2:$F$220="['migrate']"),
  IFERROR(VALUE('key information'!$D$2:$D$220),0)
)</f>
        <v>0</v>
      </c>
      <c r="L15" s="3" t="s">
        <v>378</v>
      </c>
      <c r="O15">
        <f>SUMIF(codes!$F:$F, $A15, codes!$J:$J)</f>
        <v>9</v>
      </c>
      <c r="P15">
        <f>SUMIF(codes!$F:$F, $A15, codes!$D:$D)</f>
        <v>8</v>
      </c>
      <c r="Q15">
        <f>SUMIF(codes!$F:$F, $A15, codes!$G:$G)</f>
        <v>8</v>
      </c>
      <c r="R15">
        <f>SUMIF(codes!$F:$F, $A15, codes!$H:$H)</f>
        <v>0</v>
      </c>
      <c r="S15">
        <f>SUMIF(codes!$F:$F, $A15, codes!$I:$I)</f>
        <v>0</v>
      </c>
    </row>
    <row r="16" spans="1:19" x14ac:dyDescent="0.2">
      <c r="A16" s="7" t="s">
        <v>464</v>
      </c>
      <c r="B16" s="3" t="s">
        <v>519</v>
      </c>
      <c r="C16" t="s">
        <v>693</v>
      </c>
      <c r="D16">
        <f>COUNTIF(codes!F:F, 'sub-themes'!A16)</f>
        <v>3</v>
      </c>
      <c r="E16" cm="1">
        <f t="array" ref="E16">SUMPRODUCT(--('key information'!$Y$2:$Y$220=$A16),
            --('key information'!$T$2:$T$220=1))</f>
        <v>7</v>
      </c>
      <c r="F16" cm="1">
        <f t="array" ref="F16">SUMPRODUCT(
  --('key information'!$Y$2:$Y$220=$A16),
  --('key information'!$N$2:$N$220=1),
  IFERROR(VALUE('key information'!$D$2:$D$220),0)
)</f>
        <v>4</v>
      </c>
      <c r="G16">
        <f>COUNTIF('key information'!Y16:Y234, 'sub-themes'!A16)</f>
        <v>6</v>
      </c>
      <c r="H16" t="s">
        <v>284</v>
      </c>
      <c r="I16" cm="1">
        <f t="array" ref="I16">SUMPRODUCT(
  --('key information'!$Y$2:$Y$220=$A16),
  --('key information'!$N$2:$N$220=1),
  --('key information'!$F$2:$F$220="['add']"),
  IFERROR(VALUE('key information'!$D$2:$D$220),0)
)</f>
        <v>4</v>
      </c>
      <c r="J16" cm="1">
        <f t="array" ref="J16">SUMPRODUCT(
  --('key information'!$Y$2:$Y$220=$A16),
  --('key information'!$N$2:$N$220=1),
  --('key information'!$F$2:$F$220="['remove']"),
  IFERROR(VALUE('key information'!$D$2:$D$220),0)
)</f>
        <v>0</v>
      </c>
      <c r="K16" cm="1">
        <f t="array" ref="K16">SUMPRODUCT(
  --('key information'!$Y$2:$Y$220=$A16),
  --('key information'!$N$2:$N$220=1),
  --('key information'!$F$2:$F$220="['migrate']"),
  IFERROR(VALUE('key information'!$D$2:$D$220),0)
)</f>
        <v>0</v>
      </c>
      <c r="L16" s="3" t="s">
        <v>378</v>
      </c>
      <c r="O16">
        <f>SUMIF(codes!$F:$F, $A16, codes!$J:$J)</f>
        <v>7</v>
      </c>
      <c r="P16">
        <f>SUMIF(codes!$F:$F, $A16, codes!$D:$D)</f>
        <v>4</v>
      </c>
      <c r="Q16">
        <f>SUMIF(codes!$F:$F, $A16, codes!$G:$G)</f>
        <v>4</v>
      </c>
      <c r="R16">
        <f>SUMIF(codes!$F:$F, $A16, codes!$H:$H)</f>
        <v>0</v>
      </c>
      <c r="S16">
        <f>SUMIF(codes!$F:$F, $A16, codes!$I:$I)</f>
        <v>0</v>
      </c>
    </row>
    <row r="17" spans="1:19" x14ac:dyDescent="0.2">
      <c r="A17" s="7" t="s">
        <v>390</v>
      </c>
      <c r="B17" t="s">
        <v>458</v>
      </c>
      <c r="C17" t="s">
        <v>683</v>
      </c>
      <c r="D17">
        <f>COUNTIF(codes!F:F, 'sub-themes'!A17)</f>
        <v>2</v>
      </c>
      <c r="E17" cm="1">
        <f t="array" ref="E17">SUMPRODUCT(--('key information'!$Y$2:$Y$220=$A17),
            --('key information'!$T$2:$T$220=1))</f>
        <v>11</v>
      </c>
      <c r="F17" cm="1">
        <f t="array" ref="F17">SUMPRODUCT(
  --('key information'!$Y$2:$Y$220=$A17),
  --('key information'!$N$2:$N$220=1),
  IFERROR(VALUE('key information'!$D$2:$D$220),0)
)</f>
        <v>10</v>
      </c>
      <c r="G17">
        <f>COUNTIF('key information'!Y17:Y235, 'sub-themes'!A17)</f>
        <v>11</v>
      </c>
      <c r="H17" t="s">
        <v>283</v>
      </c>
      <c r="I17" cm="1">
        <f t="array" ref="I17">SUMPRODUCT(
  --('key information'!$Y$2:$Y$220=$A17),
  --('key information'!$N$2:$N$220=1),
  --('key information'!$F$2:$F$220="['add']"),
  IFERROR(VALUE('key information'!$D$2:$D$220),0)
)</f>
        <v>10</v>
      </c>
      <c r="J17" cm="1">
        <f t="array" ref="J17">SUMPRODUCT(
  --('key information'!$Y$2:$Y$220=$A17),
  --('key information'!$N$2:$N$220=1),
  --('key information'!$F$2:$F$220="['remove']"),
  IFERROR(VALUE('key information'!$D$2:$D$220),0)
)</f>
        <v>0</v>
      </c>
      <c r="K17" cm="1">
        <f t="array" ref="K17">SUMPRODUCT(
  --('key information'!$Y$2:$Y$220=$A17),
  --('key information'!$N$2:$N$220=1),
  --('key information'!$F$2:$F$220="['migrate']"),
  IFERROR(VALUE('key information'!$D$2:$D$220),0)
)</f>
        <v>0</v>
      </c>
      <c r="L17" s="3" t="s">
        <v>378</v>
      </c>
      <c r="O17">
        <f>SUMIF(codes!$F:$F, $A17, codes!$J:$J)</f>
        <v>11</v>
      </c>
      <c r="P17">
        <f>SUMIF(codes!$F:$F, $A17, codes!$D:$D)</f>
        <v>10</v>
      </c>
      <c r="Q17">
        <f>SUMIF(codes!$F:$F, $A17, codes!$G:$G)</f>
        <v>10</v>
      </c>
      <c r="R17">
        <f>SUMIF(codes!$F:$F, $A17, codes!$H:$H)</f>
        <v>0</v>
      </c>
      <c r="S17">
        <f>SUMIF(codes!$F:$F, $A17, codes!$I:$I)</f>
        <v>0</v>
      </c>
    </row>
    <row r="18" spans="1:19" x14ac:dyDescent="0.2">
      <c r="A18" s="7" t="s">
        <v>391</v>
      </c>
      <c r="B18" t="s">
        <v>501</v>
      </c>
      <c r="C18" t="s">
        <v>684</v>
      </c>
      <c r="D18">
        <f>COUNTIF(codes!F:F, 'sub-themes'!A18)</f>
        <v>3</v>
      </c>
      <c r="E18" cm="1">
        <f t="array" ref="E18">SUMPRODUCT(--('key information'!$Y$2:$Y$220=$A18),
            --('key information'!$T$2:$T$220=1))</f>
        <v>12</v>
      </c>
      <c r="F18" cm="1">
        <f t="array" ref="F18">SUMPRODUCT(
  --('key information'!$Y$2:$Y$220=$A18),
  --('key information'!$N$2:$N$220=1),
  IFERROR(VALUE('key information'!$D$2:$D$220),0)
)</f>
        <v>25</v>
      </c>
      <c r="G18">
        <f>COUNTIF('key information'!Y18:Y236, 'sub-themes'!A18)</f>
        <v>12</v>
      </c>
      <c r="H18" t="s">
        <v>293</v>
      </c>
      <c r="I18" cm="1">
        <f t="array" ref="I18">SUMPRODUCT(
  --('key information'!$Y$2:$Y$220=$A18),
  --('key information'!$N$2:$N$220=1),
  --('key information'!$F$2:$F$220="['add']"),
  IFERROR(VALUE('key information'!$D$2:$D$220),0)
)</f>
        <v>10</v>
      </c>
      <c r="J18" cm="1">
        <f t="array" ref="J18">SUMPRODUCT(
  --('key information'!$Y$2:$Y$220=$A18),
  --('key information'!$N$2:$N$220=1),
  --('key information'!$F$2:$F$220="['remove']"),
  IFERROR(VALUE('key information'!$D$2:$D$220),0)
)</f>
        <v>1</v>
      </c>
      <c r="K18" cm="1">
        <f t="array" ref="K18">SUMPRODUCT(
  --('key information'!$Y$2:$Y$220=$A18),
  --('key information'!$N$2:$N$220=1),
  --('key information'!$F$2:$F$220="['migrate']"),
  IFERROR(VALUE('key information'!$D$2:$D$220),0)
)</f>
        <v>14</v>
      </c>
      <c r="L18" s="3" t="s">
        <v>471</v>
      </c>
      <c r="O18">
        <f>SUMIF(codes!$F:$F, $A18, codes!$J:$J)</f>
        <v>12</v>
      </c>
      <c r="P18">
        <f>SUMIF(codes!$F:$F, $A18, codes!$D:$D)</f>
        <v>25</v>
      </c>
      <c r="Q18">
        <f>SUMIF(codes!$F:$F, $A18, codes!$G:$G)</f>
        <v>10</v>
      </c>
      <c r="R18">
        <f>SUMIF(codes!$F:$F, $A18, codes!$H:$H)</f>
        <v>1</v>
      </c>
      <c r="S18">
        <f>SUMIF(codes!$F:$F, $A18, codes!$I:$I)</f>
        <v>14</v>
      </c>
    </row>
    <row r="19" spans="1:19" x14ac:dyDescent="0.2">
      <c r="A19" s="7" t="s">
        <v>392</v>
      </c>
      <c r="B19" t="s">
        <v>529</v>
      </c>
      <c r="C19" t="s">
        <v>685</v>
      </c>
      <c r="D19">
        <f>COUNTIF(codes!F:F, 'sub-themes'!A19)</f>
        <v>2</v>
      </c>
      <c r="E19" cm="1">
        <f t="array" ref="E19">SUMPRODUCT(--('key information'!$Y$2:$Y$220=$A19),
            --('key information'!$T$2:$T$220=1))</f>
        <v>3</v>
      </c>
      <c r="F19" cm="1">
        <f t="array" ref="F19">SUMPRODUCT(
  --('key information'!$Y$2:$Y$220=$A19),
  --('key information'!$N$2:$N$220=1),
  IFERROR(VALUE('key information'!$D$2:$D$220),0)
)</f>
        <v>2</v>
      </c>
      <c r="G19">
        <f>COUNTIF('key information'!Y19:Y237, 'sub-themes'!A19)</f>
        <v>3</v>
      </c>
      <c r="H19" t="s">
        <v>282</v>
      </c>
      <c r="I19" cm="1">
        <f t="array" ref="I19">SUMPRODUCT(
  --('key information'!$Y$2:$Y$220=$A19),
  --('key information'!$N$2:$N$220=1),
  --('key information'!$F$2:$F$220="['add']"),
  IFERROR(VALUE('key information'!$D$2:$D$220),0)
)</f>
        <v>2</v>
      </c>
      <c r="J19" cm="1">
        <f t="array" ref="J19">SUMPRODUCT(
  --('key information'!$Y$2:$Y$220=$A19),
  --('key information'!$N$2:$N$220=1),
  --('key information'!$F$2:$F$220="['remove']"),
  IFERROR(VALUE('key information'!$D$2:$D$220),0)
)</f>
        <v>0</v>
      </c>
      <c r="K19" cm="1">
        <f t="array" ref="K19">SUMPRODUCT(
  --('key information'!$Y$2:$Y$220=$A19),
  --('key information'!$N$2:$N$220=1),
  --('key information'!$F$2:$F$220="['migrate']"),
  IFERROR(VALUE('key information'!$D$2:$D$220),0)
)</f>
        <v>0</v>
      </c>
      <c r="L19" s="3" t="s">
        <v>378</v>
      </c>
      <c r="O19">
        <f>SUMIF(codes!$F:$F, $A19, codes!$J:$J)</f>
        <v>3</v>
      </c>
      <c r="P19">
        <f>SUMIF(codes!$F:$F, $A19, codes!$D:$D)</f>
        <v>2</v>
      </c>
      <c r="Q19">
        <f>SUMIF(codes!$F:$F, $A19, codes!$G:$G)</f>
        <v>2</v>
      </c>
      <c r="R19">
        <f>SUMIF(codes!$F:$F, $A19, codes!$H:$H)</f>
        <v>0</v>
      </c>
      <c r="S19">
        <f>SUMIF(codes!$F:$F, $A19, codes!$I:$I)</f>
        <v>0</v>
      </c>
    </row>
    <row r="20" spans="1:19" x14ac:dyDescent="0.2">
      <c r="A20" s="7" t="s">
        <v>393</v>
      </c>
      <c r="B20" t="s">
        <v>370</v>
      </c>
      <c r="C20" t="s">
        <v>686</v>
      </c>
      <c r="D20">
        <f>COUNTIF(codes!F:F, 'sub-themes'!A20)</f>
        <v>4</v>
      </c>
      <c r="E20" cm="1">
        <f t="array" ref="E20">SUMPRODUCT(--('key information'!$Y$2:$Y$220=$A20),
            --('key information'!$T$2:$T$220=1))</f>
        <v>15</v>
      </c>
      <c r="F20" cm="1">
        <f t="array" ref="F20">SUMPRODUCT(
  --('key information'!$Y$2:$Y$220=$A20),
  --('key information'!$N$2:$N$220=1),
  IFERROR(VALUE('key information'!$D$2:$D$220),0)
)</f>
        <v>12</v>
      </c>
      <c r="G20">
        <f>COUNTIF('key information'!Y20:Y238, 'sub-themes'!A20)</f>
        <v>15</v>
      </c>
      <c r="H20" t="s">
        <v>282</v>
      </c>
      <c r="I20" cm="1">
        <f t="array" ref="I20">SUMPRODUCT(
  --('key information'!$Y$2:$Y$220=$A20),
  --('key information'!$N$2:$N$220=1),
  --('key information'!$F$2:$F$220="['add']"),
  IFERROR(VALUE('key information'!$D$2:$D$220),0)
)</f>
        <v>12</v>
      </c>
      <c r="J20" cm="1">
        <f t="array" ref="J20">SUMPRODUCT(
  --('key information'!$Y$2:$Y$220=$A20),
  --('key information'!$N$2:$N$220=1),
  --('key information'!$F$2:$F$220="['remove']"),
  IFERROR(VALUE('key information'!$D$2:$D$220),0)
)</f>
        <v>0</v>
      </c>
      <c r="K20" cm="1">
        <f t="array" ref="K20">SUMPRODUCT(
  --('key information'!$Y$2:$Y$220=$A20),
  --('key information'!$N$2:$N$220=1),
  --('key information'!$F$2:$F$220="['migrate']"),
  IFERROR(VALUE('key information'!$D$2:$D$220),0)
)</f>
        <v>0</v>
      </c>
      <c r="L20" s="3" t="s">
        <v>378</v>
      </c>
      <c r="O20">
        <f>SUMIF(codes!$F:$F, $A20, codes!$J:$J)</f>
        <v>15</v>
      </c>
      <c r="P20">
        <f>SUMIF(codes!$F:$F, $A20, codes!$D:$D)</f>
        <v>12</v>
      </c>
      <c r="Q20">
        <f>SUMIF(codes!$F:$F, $A20, codes!$G:$G)</f>
        <v>12</v>
      </c>
      <c r="R20">
        <f>SUMIF(codes!$F:$F, $A20, codes!$H:$H)</f>
        <v>0</v>
      </c>
      <c r="S20">
        <f>SUMIF(codes!$F:$F, $A20, codes!$I:$I)</f>
        <v>0</v>
      </c>
    </row>
    <row r="21" spans="1:19" x14ac:dyDescent="0.2">
      <c r="A21" s="7" t="s">
        <v>394</v>
      </c>
      <c r="B21" t="s">
        <v>517</v>
      </c>
      <c r="C21" t="s">
        <v>694</v>
      </c>
      <c r="D21">
        <f>COUNTIF(codes!F:F, 'sub-themes'!A21)</f>
        <v>2</v>
      </c>
      <c r="E21" cm="1">
        <f t="array" ref="E21">SUMPRODUCT(--('key information'!$Y$2:$Y$220=$A21),
            --('key information'!$T$2:$T$220=1))</f>
        <v>10</v>
      </c>
      <c r="F21" cm="1">
        <f t="array" ref="F21">SUMPRODUCT(
  --('key information'!$Y$2:$Y$220=$A21),
  --('key information'!$N$2:$N$220=1),
  IFERROR(VALUE('key information'!$D$2:$D$220),0)
)</f>
        <v>12</v>
      </c>
      <c r="G21">
        <f>COUNTIF('key information'!Y21:Y239, 'sub-themes'!A21)</f>
        <v>10</v>
      </c>
      <c r="H21" t="s">
        <v>290</v>
      </c>
      <c r="I21" cm="1">
        <f t="array" ref="I21">SUMPRODUCT(
  --('key information'!$Y$2:$Y$220=$A21),
  --('key information'!$N$2:$N$220=1),
  --('key information'!$F$2:$F$220="['add']"),
  IFERROR(VALUE('key information'!$D$2:$D$220),0)
)</f>
        <v>0</v>
      </c>
      <c r="J21" cm="1">
        <f t="array" ref="J21">SUMPRODUCT(
  --('key information'!$Y$2:$Y$220=$A21),
  --('key information'!$N$2:$N$220=1),
  --('key information'!$F$2:$F$220="['remove']"),
  IFERROR(VALUE('key information'!$D$2:$D$220),0)
)</f>
        <v>12</v>
      </c>
      <c r="K21" cm="1">
        <f t="array" ref="K21">SUMPRODUCT(
  --('key information'!$Y$2:$Y$220=$A21),
  --('key information'!$N$2:$N$220=1),
  --('key information'!$F$2:$F$220="['migrate']"),
  IFERROR(VALUE('key information'!$D$2:$D$220),0)
)</f>
        <v>0</v>
      </c>
      <c r="L21" s="3" t="s">
        <v>377</v>
      </c>
      <c r="O21">
        <f>SUMIF(codes!$F:$F, $A21, codes!$J:$J)</f>
        <v>10</v>
      </c>
      <c r="P21">
        <f>SUMIF(codes!$F:$F, $A21, codes!$D:$D)</f>
        <v>12</v>
      </c>
      <c r="Q21">
        <f>SUMIF(codes!$F:$F, $A21, codes!$G:$G)</f>
        <v>0</v>
      </c>
      <c r="R21">
        <f>SUMIF(codes!$F:$F, $A21, codes!$H:$H)</f>
        <v>12</v>
      </c>
      <c r="S21">
        <f>SUMIF(codes!$F:$F, $A21, codes!$I:$I)</f>
        <v>0</v>
      </c>
    </row>
    <row r="26" spans="1:19" x14ac:dyDescent="0.2">
      <c r="A26" s="7"/>
      <c r="B26" s="7"/>
      <c r="C26"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AF74-4A94-E049-93A4-D0B6BA0E352E}">
  <dimension ref="A1:U17"/>
  <sheetViews>
    <sheetView zoomScale="120" zoomScaleNormal="120" workbookViewId="0">
      <selection activeCell="D3" sqref="D3"/>
    </sheetView>
  </sheetViews>
  <sheetFormatPr baseColWidth="10" defaultRowHeight="15" x14ac:dyDescent="0.2"/>
  <cols>
    <col min="1" max="1" width="5" bestFit="1" customWidth="1"/>
    <col min="2" max="2" width="7.6640625" customWidth="1"/>
    <col min="3" max="3" width="40.6640625" bestFit="1" customWidth="1"/>
    <col min="4" max="4" width="97.6640625" bestFit="1" customWidth="1"/>
    <col min="5" max="5" width="15.6640625" bestFit="1" customWidth="1"/>
    <col min="6" max="6" width="12.33203125" bestFit="1" customWidth="1"/>
    <col min="7" max="7" width="14.1640625" customWidth="1"/>
    <col min="8" max="8" width="17.5" bestFit="1" customWidth="1"/>
    <col min="9" max="10" width="9.33203125" bestFit="1" customWidth="1"/>
    <col min="11" max="11" width="12.5" bestFit="1" customWidth="1"/>
    <col min="12" max="12" width="12.33203125" bestFit="1" customWidth="1"/>
    <col min="13" max="13" width="17" bestFit="1" customWidth="1"/>
    <col min="14" max="14" width="9.1640625" bestFit="1" customWidth="1"/>
    <col min="17" max="17" width="14.1640625" bestFit="1" customWidth="1"/>
  </cols>
  <sheetData>
    <row r="1" spans="1:21" x14ac:dyDescent="0.2">
      <c r="A1" s="8" t="s">
        <v>278</v>
      </c>
      <c r="B1" s="8" t="s">
        <v>659</v>
      </c>
      <c r="C1" s="8" t="s">
        <v>279</v>
      </c>
      <c r="D1" s="8" t="s">
        <v>630</v>
      </c>
      <c r="E1" s="8" t="s">
        <v>531</v>
      </c>
      <c r="F1" s="8" t="s">
        <v>446</v>
      </c>
      <c r="G1" s="8" t="s">
        <v>447</v>
      </c>
      <c r="H1" s="8" t="s">
        <v>449</v>
      </c>
      <c r="I1" s="8" t="s">
        <v>544</v>
      </c>
      <c r="J1" s="10" t="s">
        <v>468</v>
      </c>
      <c r="K1" s="11" t="s">
        <v>469</v>
      </c>
      <c r="L1" s="11" t="s">
        <v>470</v>
      </c>
      <c r="Q1" s="8" t="s">
        <v>447</v>
      </c>
      <c r="R1" s="8" t="s">
        <v>449</v>
      </c>
      <c r="S1" s="8" t="s">
        <v>468</v>
      </c>
      <c r="T1" s="8" t="s">
        <v>469</v>
      </c>
      <c r="U1" s="8" t="s">
        <v>470</v>
      </c>
    </row>
    <row r="2" spans="1:21" x14ac:dyDescent="0.2">
      <c r="A2" s="7" t="s">
        <v>282</v>
      </c>
      <c r="B2" s="7" t="s">
        <v>282</v>
      </c>
      <c r="C2" t="s">
        <v>467</v>
      </c>
      <c r="D2" t="s">
        <v>695</v>
      </c>
      <c r="E2" cm="1">
        <f t="array" ref="E2">SUMPRODUCT(--ISNUMBER(SEARCH(","&amp;$A2&amp;",", ","&amp;'sub-themes'!$H:$H&amp;",")))</f>
        <v>5</v>
      </c>
      <c r="F2" cm="1">
        <f t="array" ref="F2">SUMPRODUCT(
  --ISNUMBER(SEARCH(","&amp;$A2&amp;",", ","&amp;'sub-themes'!$H:$H&amp;",")),
  'sub-themes'!$D:$D
)</f>
        <v>29</v>
      </c>
      <c r="G2" cm="1">
        <f t="array" ref="G2">SUMPRODUCT(--('key information'!$Z$2:$Z$220=$A2),
            --('key information'!$V$2:$V$220=1))</f>
        <v>83</v>
      </c>
      <c r="H2" cm="1">
        <f t="array" ref="H2">SUMPRODUCT(
  --('key information'!$Z$2:$Z$220=$A2),
  --('key information'!$P$2:$P$220=1),
  IFERROR(VALUE('key information'!$D$2:$D$220),0)
)</f>
        <v>120</v>
      </c>
      <c r="I2">
        <f>COUNTIF('key information'!Z2:Z220, themes!A2)</f>
        <v>86</v>
      </c>
      <c r="J2" cm="1">
        <f t="array" ref="J2">SUMPRODUCT(
  --('key information'!$Z$2:$Z$220=$A2),
  --('key information'!$P$2:$P$220=1),
  --('key information'!$F$2:$F$220="['add']"),
  IFERROR(VALUE('key information'!$D$2:$D$220),0)
)</f>
        <v>120</v>
      </c>
      <c r="K2" cm="1">
        <f t="array" ref="K2">SUMPRODUCT(
  --('key information'!$Z$2:$Z$220=$A2),
  --('key information'!$P$2:$P$220=1),
  --('key information'!$F$2:$F$220="['remove']"),
  IFERROR(VALUE('key information'!$D$2:$D$220),0)
)</f>
        <v>0</v>
      </c>
      <c r="L2" cm="1">
        <f t="array" ref="L2">SUMPRODUCT(
  --('key information'!$Z$2:$Z$220=$A2),
  --('key information'!$P$2:$P$220=1),
  --('key information'!$F$2:$F$220="['migrate']"),
  IFERROR(VALUE('key information'!$D$2:$D$220),0)
)</f>
        <v>0</v>
      </c>
      <c r="Q2" cm="1">
        <f t="array" ref="Q2">SUMPRODUCT(
  --ISNUMBER(SEARCH(","&amp;$A2&amp;",", ","&amp;'sub-themes'!$H:$H&amp;",")),
  'sub-themes'!$O:$O
)</f>
        <v>86</v>
      </c>
      <c r="R2" cm="1">
        <f t="array" ref="R2">SUMPRODUCT(
  --ISNUMBER(SEARCH(","&amp;$A2&amp;",", ","&amp;'sub-themes'!$H:$H&amp;",")),
  'sub-themes'!$P:$P
)</f>
        <v>121</v>
      </c>
      <c r="S2">
        <f>SUMIF('sub-themes'!$H:$H, $A2, 'sub-themes'!$Q:$Q)</f>
        <v>121</v>
      </c>
      <c r="T2">
        <f>SUMIF('sub-themes'!$H:$H, $A2, 'sub-themes'!$R:$R)</f>
        <v>0</v>
      </c>
      <c r="U2">
        <f>SUMIF('sub-themes'!$H:$H, $A2, 'sub-themes'!$S:$S)</f>
        <v>0</v>
      </c>
    </row>
    <row r="3" spans="1:21" x14ac:dyDescent="0.2">
      <c r="A3" s="7" t="s">
        <v>283</v>
      </c>
      <c r="B3" s="7" t="s">
        <v>293</v>
      </c>
      <c r="C3" t="s">
        <v>466</v>
      </c>
      <c r="D3" t="s">
        <v>696</v>
      </c>
      <c r="E3" cm="1">
        <f t="array" ref="E3">SUMPRODUCT(--ISNUMBER(SEARCH(","&amp;$A3&amp;",", ","&amp;'sub-themes'!$H:$H&amp;",")))</f>
        <v>3</v>
      </c>
      <c r="F3" cm="1">
        <f t="array" ref="F3">SUMPRODUCT(
  --ISNUMBER(SEARCH(","&amp;$A3&amp;",", ","&amp;'sub-themes'!$H:$H&amp;",")),
  'sub-themes'!$D:$D
)</f>
        <v>7</v>
      </c>
      <c r="G3" cm="1">
        <f t="array" ref="G3">SUMPRODUCT(--('key information'!$Z$2:$Z$220=$A3),
            --('key information'!$V$2:$V$220=1))</f>
        <v>34</v>
      </c>
      <c r="H3" cm="1">
        <f t="array" ref="H3">SUMPRODUCT(
  --('key information'!$Z$2:$Z$220=$A3),
  --('key information'!$P$2:$P$220=1),
  IFERROR(VALUE('key information'!$D$2:$D$220),0)
)</f>
        <v>33</v>
      </c>
      <c r="I3">
        <f>COUNTIF('key information'!Z3:Z221, themes!A3)</f>
        <v>34</v>
      </c>
      <c r="J3" cm="1">
        <f t="array" ref="J3">SUMPRODUCT(
  --('key information'!$Z$2:$Z$220=$A3),
  --('key information'!$P$2:$P$220=1),
  --('key information'!$F$2:$F$220="['add']"),
  IFERROR(VALUE('key information'!$D$2:$D$220),0)
)</f>
        <v>33</v>
      </c>
      <c r="K3" cm="1">
        <f t="array" ref="K3">SUMPRODUCT(
  --('key information'!$Z$2:$Z$220=$A3),
  --('key information'!$P$2:$P$220=1),
  --('key information'!$F$2:$F$220="['remove']"),
  IFERROR(VALUE('key information'!$D$2:$D$220),0)
)</f>
        <v>0</v>
      </c>
      <c r="L3" cm="1">
        <f t="array" ref="L3">SUMPRODUCT(
  --('key information'!$Z$2:$Z$220=$A3),
  --('key information'!$P$2:$P$220=1),
  --('key information'!$F$2:$F$220="['migrate']"),
  IFERROR(VALUE('key information'!$D$2:$D$220),0)
)</f>
        <v>0</v>
      </c>
      <c r="Q3" cm="1">
        <f t="array" ref="Q3">SUMPRODUCT(
  --ISNUMBER(SEARCH(","&amp;$A3&amp;",", ","&amp;'sub-themes'!$H:$H&amp;",")),
  'sub-themes'!$O:$O
)</f>
        <v>34</v>
      </c>
      <c r="R3" cm="1">
        <f t="array" ref="R3">SUMPRODUCT(
  --ISNUMBER(SEARCH(","&amp;$A3&amp;",", ","&amp;'sub-themes'!$H:$H&amp;",")),
  'sub-themes'!$P:$P
)</f>
        <v>33</v>
      </c>
      <c r="S3">
        <f>SUMIF('sub-themes'!$H:$H, $A3, 'sub-themes'!$Q:$Q)</f>
        <v>33</v>
      </c>
      <c r="T3">
        <f>SUMIF('sub-themes'!$H:$H, $A3, 'sub-themes'!$R:$R)</f>
        <v>0</v>
      </c>
      <c r="U3">
        <f>SUMIF('sub-themes'!$H:$H, $A3, 'sub-themes'!$S:$S)</f>
        <v>0</v>
      </c>
    </row>
    <row r="4" spans="1:21" x14ac:dyDescent="0.2">
      <c r="A4" s="7" t="s">
        <v>284</v>
      </c>
      <c r="B4" s="7" t="s">
        <v>283</v>
      </c>
      <c r="C4" t="s">
        <v>527</v>
      </c>
      <c r="D4" t="s">
        <v>697</v>
      </c>
      <c r="E4" cm="1">
        <f t="array" ref="E4">SUMPRODUCT(--ISNUMBER(SEARCH(","&amp;$A4&amp;",", ","&amp;'sub-themes'!$H:$H&amp;",")))</f>
        <v>5</v>
      </c>
      <c r="F4" cm="1">
        <f t="array" ref="F4">SUMPRODUCT(
  --ISNUMBER(SEARCH(","&amp;$A4&amp;",", ","&amp;'sub-themes'!$H:$H&amp;",")),
  'sub-themes'!$D:$D
)</f>
        <v>13</v>
      </c>
      <c r="G4" cm="1">
        <f t="array" ref="G4">SUMPRODUCT(--('key information'!$Z$2:$Z$220=$A4),
            --('key information'!$V$2:$V$220=1))</f>
        <v>45</v>
      </c>
      <c r="H4" cm="1">
        <f t="array" ref="H4">SUMPRODUCT(
  --('key information'!$Z$2:$Z$220=$A4),
  --('key information'!$P$2:$P$220=1),
  IFERROR(VALUE('key information'!$D$2:$D$220),0)
)</f>
        <v>107</v>
      </c>
      <c r="I4">
        <f>COUNTIF('key information'!Z4:Z222, themes!A4)</f>
        <v>45</v>
      </c>
      <c r="J4" cm="1">
        <f t="array" ref="J4">SUMPRODUCT(
  --('key information'!$Z$2:$Z$220=$A4),
  --('key information'!$P$2:$P$220=1),
  --('key information'!$F$2:$F$220="['add']"),
  IFERROR(VALUE('key information'!$D$2:$D$220),0)
)</f>
        <v>105</v>
      </c>
      <c r="K4" cm="1">
        <f t="array" ref="K4">SUMPRODUCT(
  --('key information'!$Z$2:$Z$220=$A4),
  --('key information'!$P$2:$P$220=1),
  --('key information'!$F$2:$F$220="['remove']"),
  IFERROR(VALUE('key information'!$D$2:$D$220),0)
)</f>
        <v>2</v>
      </c>
      <c r="L4" cm="1">
        <f t="array" ref="L4">SUMPRODUCT(
  --('key information'!$Z$2:$Z$220=$A4),
  --('key information'!$P$2:$P$220=1),
  --('key information'!$F$2:$F$220="['migrate']"),
  IFERROR(VALUE('key information'!$D$2:$D$220),0)
)</f>
        <v>0</v>
      </c>
      <c r="Q4" cm="1">
        <f t="array" ref="Q4">SUMPRODUCT(
  --ISNUMBER(SEARCH(","&amp;$A4&amp;",", ","&amp;'sub-themes'!$H:$H&amp;",")),
  'sub-themes'!$O:$O
)</f>
        <v>45</v>
      </c>
      <c r="R4" cm="1">
        <f t="array" ref="R4">SUMPRODUCT(
  --ISNUMBER(SEARCH(","&amp;$A4&amp;",", ","&amp;'sub-themes'!$H:$H&amp;",")),
  'sub-themes'!$P:$P
)</f>
        <v>107</v>
      </c>
      <c r="S4">
        <f>SUMIF('sub-themes'!$H:$H, $A4, 'sub-themes'!$Q:$Q)</f>
        <v>105</v>
      </c>
      <c r="T4">
        <f>SUMIF('sub-themes'!$H:$H, $A4, 'sub-themes'!$R:$R)</f>
        <v>2</v>
      </c>
      <c r="U4">
        <f>SUMIF('sub-themes'!$H:$H, $A4, 'sub-themes'!$S:$S)</f>
        <v>0</v>
      </c>
    </row>
    <row r="5" spans="1:21" x14ac:dyDescent="0.2">
      <c r="A5" s="7" t="s">
        <v>290</v>
      </c>
      <c r="B5" s="7" t="s">
        <v>290</v>
      </c>
      <c r="C5" t="s">
        <v>540</v>
      </c>
      <c r="D5" t="s">
        <v>698</v>
      </c>
      <c r="E5" cm="1">
        <f t="array" ref="E5">SUMPRODUCT(--ISNUMBER(SEARCH(","&amp;$A5&amp;",", ","&amp;'sub-themes'!$H:$H&amp;",")))</f>
        <v>4</v>
      </c>
      <c r="F5" cm="1">
        <f t="array" ref="F5">SUMPRODUCT(
  --ISNUMBER(SEARCH(","&amp;$A5&amp;",", ","&amp;'sub-themes'!$H:$H&amp;",")),
  'sub-themes'!$D:$D
)</f>
        <v>12</v>
      </c>
      <c r="G5" cm="1">
        <f t="array" ref="G5">SUMPRODUCT(--('key information'!$Z$2:$Z$220=$A5),
            --('key information'!$V$2:$V$220=1))</f>
        <v>27</v>
      </c>
      <c r="H5" cm="1">
        <f t="array" ref="H5">SUMPRODUCT(
  --('key information'!$Z$2:$Z$220=$A5),
  --('key information'!$P$2:$P$220=1),
  IFERROR(VALUE('key information'!$D$2:$D$220),0)
)</f>
        <v>39</v>
      </c>
      <c r="I5">
        <f>COUNTIF('key information'!Z5:Z223, themes!A5)</f>
        <v>30</v>
      </c>
      <c r="J5" cm="1">
        <f t="array" ref="J5">SUMPRODUCT(
  --('key information'!$Z$2:$Z$220=$A5),
  --('key information'!$P$2:$P$220=1),
  --('key information'!$F$2:$F$220="['add']"),
  IFERROR(VALUE('key information'!$D$2:$D$220),0)
)</f>
        <v>6</v>
      </c>
      <c r="K5" cm="1">
        <f t="array" ref="K5">SUMPRODUCT(
  --('key information'!$Z$2:$Z$220=$A5),
  --('key information'!$P$2:$P$220=1),
  --('key information'!$F$2:$F$220="['remove']"),
  IFERROR(VALUE('key information'!$D$2:$D$220),0)
)</f>
        <v>13</v>
      </c>
      <c r="L5" cm="1">
        <f t="array" ref="L5">SUMPRODUCT(
  --('key information'!$Z$2:$Z$220=$A5),
  --('key information'!$P$2:$P$220=1),
  --('key information'!$F$2:$F$220="['migrate']"),
  IFERROR(VALUE('key information'!$D$2:$D$220),0)
)</f>
        <v>20</v>
      </c>
      <c r="Q5" cm="1">
        <f t="array" ref="Q5">SUMPRODUCT(
  --ISNUMBER(SEARCH(","&amp;$A5&amp;",", ","&amp;'sub-themes'!$H:$H&amp;",")),
  'sub-themes'!$O:$O
)</f>
        <v>30</v>
      </c>
      <c r="R5" cm="1">
        <f t="array" ref="R5">SUMPRODUCT(
  --ISNUMBER(SEARCH(","&amp;$A5&amp;",", ","&amp;'sub-themes'!$H:$H&amp;",")),
  'sub-themes'!$P:$P
)</f>
        <v>41</v>
      </c>
      <c r="S5">
        <f>SUMIF('sub-themes'!$H:$H, $A5, 'sub-themes'!$Q:$Q)</f>
        <v>7</v>
      </c>
      <c r="T5">
        <f>SUMIF('sub-themes'!$H:$H, $A5, 'sub-themes'!$R:$R)</f>
        <v>13</v>
      </c>
      <c r="U5">
        <f>SUMIF('sub-themes'!$H:$H, $A5, 'sub-themes'!$S:$S)</f>
        <v>21</v>
      </c>
    </row>
    <row r="6" spans="1:21" x14ac:dyDescent="0.2">
      <c r="A6" s="7" t="s">
        <v>293</v>
      </c>
      <c r="B6" s="7" t="s">
        <v>284</v>
      </c>
      <c r="C6" t="s">
        <v>465</v>
      </c>
      <c r="D6" t="s">
        <v>699</v>
      </c>
      <c r="E6" cm="1">
        <f t="array" ref="E6">SUMPRODUCT(--ISNUMBER(SEARCH(","&amp;$A6&amp;",", ","&amp;'sub-themes'!$H:$H&amp;",")))</f>
        <v>3</v>
      </c>
      <c r="F6" cm="1">
        <f t="array" ref="F6">SUMPRODUCT(
  --ISNUMBER(SEARCH(","&amp;$A6&amp;",", ","&amp;'sub-themes'!$H:$H&amp;",")),
  'sub-themes'!$D:$D
)</f>
        <v>9</v>
      </c>
      <c r="G6" cm="1">
        <f t="array" ref="G6">SUMPRODUCT(--('key information'!$Z$2:$Z$220=$A6),
            --('key information'!$V$2:$V$220=1))</f>
        <v>24</v>
      </c>
      <c r="H6" cm="1">
        <f t="array" ref="H6">SUMPRODUCT(
  --('key information'!$Z$2:$Z$220=$A6),
  --('key information'!$P$2:$P$220=1),
  IFERROR(VALUE('key information'!$D$2:$D$220),0)
)</f>
        <v>43</v>
      </c>
      <c r="I6">
        <f>COUNTIF('key information'!Z6:Z224, themes!A6)</f>
        <v>24</v>
      </c>
      <c r="J6" cm="1">
        <f t="array" ref="J6">SUMPRODUCT(
  --('key information'!$Z$2:$Z$220=$A6),
  --('key information'!$P$2:$P$220=1),
  --('key information'!$F$2:$F$220="['add']"),
  IFERROR(VALUE('key information'!$D$2:$D$220),0)
)</f>
        <v>25</v>
      </c>
      <c r="K6" cm="1">
        <f t="array" ref="K6">SUMPRODUCT(
  --('key information'!$Z$2:$Z$220=$A6),
  --('key information'!$P$2:$P$220=1),
  --('key information'!$F$2:$F$220="['remove']"),
  IFERROR(VALUE('key information'!$D$2:$D$220),0)
)</f>
        <v>1</v>
      </c>
      <c r="L6" cm="1">
        <f t="array" ref="L6">SUMPRODUCT(
  --('key information'!$Z$2:$Z$220=$A6),
  --('key information'!$P$2:$P$220=1),
  --('key information'!$F$2:$F$220="['migrate']"),
  IFERROR(VALUE('key information'!$D$2:$D$220),0)
)</f>
        <v>17</v>
      </c>
      <c r="Q6" cm="1">
        <f t="array" ref="Q6">SUMPRODUCT(
  --ISNUMBER(SEARCH(","&amp;$A6&amp;",", ","&amp;'sub-themes'!$H:$H&amp;",")),
  'sub-themes'!$O:$O
)</f>
        <v>24</v>
      </c>
      <c r="R6" cm="1">
        <f t="array" ref="R6">SUMPRODUCT(
  --ISNUMBER(SEARCH(","&amp;$A6&amp;",", ","&amp;'sub-themes'!$H:$H&amp;",")),
  'sub-themes'!$P:$P
)</f>
        <v>44</v>
      </c>
      <c r="S6">
        <f>SUMIF('sub-themes'!$H:$H, $A6, 'sub-themes'!$Q:$Q)</f>
        <v>25</v>
      </c>
      <c r="T6">
        <f>SUMIF('sub-themes'!$H:$H, $A6, 'sub-themes'!$R:$R)</f>
        <v>1</v>
      </c>
      <c r="U6">
        <f>SUMIF('sub-themes'!$H:$H, $A6, 'sub-themes'!$S:$S)</f>
        <v>18</v>
      </c>
    </row>
    <row r="8" spans="1:21" x14ac:dyDescent="0.2">
      <c r="A8" s="7" t="s">
        <v>526</v>
      </c>
      <c r="B8" s="7"/>
      <c r="E8">
        <f>SUM(E2:E6)</f>
        <v>20</v>
      </c>
      <c r="F8">
        <f>SUM(F2:F6)</f>
        <v>70</v>
      </c>
    </row>
    <row r="9" spans="1:21" x14ac:dyDescent="0.2">
      <c r="N9" t="s">
        <v>472</v>
      </c>
    </row>
    <row r="10" spans="1:21" x14ac:dyDescent="0.2">
      <c r="C10" s="7"/>
      <c r="D10" s="7"/>
      <c r="E10" s="3"/>
      <c r="N10" s="3"/>
    </row>
    <row r="17" ht="32" customHeigh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4544-59EB-4346-962F-35D35E3788D0}">
  <dimension ref="A1:G21"/>
  <sheetViews>
    <sheetView tabSelected="1" zoomScale="130" zoomScaleNormal="130" workbookViewId="0">
      <pane xSplit="1" topLeftCell="B1" activePane="topRight" state="frozen"/>
      <selection pane="topRight" activeCell="C21" sqref="C21"/>
    </sheetView>
  </sheetViews>
  <sheetFormatPr baseColWidth="10" defaultRowHeight="15" x14ac:dyDescent="0.2"/>
  <cols>
    <col min="1" max="1" width="37.6640625" customWidth="1"/>
    <col min="2" max="2" width="5.1640625" customWidth="1"/>
    <col min="3" max="3" width="47.6640625" bestFit="1" customWidth="1"/>
    <col min="4" max="4" width="14.33203125" bestFit="1" customWidth="1"/>
    <col min="5" max="5" width="21.1640625" bestFit="1" customWidth="1"/>
    <col min="6" max="6" width="16.33203125" bestFit="1" customWidth="1"/>
    <col min="7" max="7" width="21.1640625" bestFit="1" customWidth="1"/>
  </cols>
  <sheetData>
    <row r="1" spans="1:7" x14ac:dyDescent="0.2">
      <c r="A1" s="12" t="s">
        <v>279</v>
      </c>
      <c r="C1" s="12" t="s">
        <v>528</v>
      </c>
      <c r="D1" s="16" t="s">
        <v>714</v>
      </c>
      <c r="E1" s="16" t="s">
        <v>715</v>
      </c>
      <c r="F1" s="16" t="s">
        <v>716</v>
      </c>
      <c r="G1" s="16" t="s">
        <v>717</v>
      </c>
    </row>
    <row r="2" spans="1:7" x14ac:dyDescent="0.2">
      <c r="A2" s="19" t="s">
        <v>467</v>
      </c>
      <c r="B2" t="s">
        <v>381</v>
      </c>
      <c r="C2" s="13" t="s">
        <v>369</v>
      </c>
      <c r="D2" s="24" t="b">
        <v>0</v>
      </c>
      <c r="E2" s="24" t="b">
        <v>1</v>
      </c>
      <c r="F2" s="24" t="b">
        <v>0</v>
      </c>
      <c r="G2" s="24" t="b">
        <v>1</v>
      </c>
    </row>
    <row r="3" spans="1:7" x14ac:dyDescent="0.2">
      <c r="A3" s="20"/>
      <c r="B3" t="s">
        <v>379</v>
      </c>
      <c r="C3" t="s">
        <v>368</v>
      </c>
      <c r="D3" s="24" t="b">
        <v>0</v>
      </c>
      <c r="E3" s="24" t="b">
        <v>1</v>
      </c>
      <c r="F3" s="24" t="b">
        <v>0</v>
      </c>
      <c r="G3" s="24" t="b">
        <v>1</v>
      </c>
    </row>
    <row r="4" spans="1:7" ht="23" customHeight="1" x14ac:dyDescent="0.2">
      <c r="A4" s="20"/>
      <c r="B4" t="s">
        <v>393</v>
      </c>
      <c r="C4" s="2" t="s">
        <v>721</v>
      </c>
      <c r="D4" s="24" t="b">
        <v>0</v>
      </c>
      <c r="E4" s="24" t="b">
        <v>1</v>
      </c>
      <c r="F4" s="24" t="b">
        <v>0</v>
      </c>
      <c r="G4" s="24" t="b">
        <v>1</v>
      </c>
    </row>
    <row r="5" spans="1:7" x14ac:dyDescent="0.2">
      <c r="A5" s="20"/>
      <c r="B5" t="s">
        <v>388</v>
      </c>
      <c r="C5" t="s">
        <v>371</v>
      </c>
      <c r="D5" s="24" t="b">
        <v>0</v>
      </c>
      <c r="E5" s="24" t="b">
        <v>1</v>
      </c>
      <c r="F5" s="24" t="b">
        <v>0</v>
      </c>
      <c r="G5" s="24" t="b">
        <v>1</v>
      </c>
    </row>
    <row r="6" spans="1:7" x14ac:dyDescent="0.2">
      <c r="A6" s="20"/>
      <c r="B6" t="s">
        <v>392</v>
      </c>
      <c r="C6" t="s">
        <v>722</v>
      </c>
      <c r="D6" s="24" t="b">
        <v>0</v>
      </c>
      <c r="E6" s="24" t="b">
        <v>1</v>
      </c>
      <c r="F6" s="24" t="b">
        <v>0</v>
      </c>
      <c r="G6" s="24" t="b">
        <v>1</v>
      </c>
    </row>
    <row r="7" spans="1:7" x14ac:dyDescent="0.2">
      <c r="A7" s="21" t="s">
        <v>718</v>
      </c>
      <c r="B7" t="s">
        <v>456</v>
      </c>
      <c r="C7" s="14" t="s">
        <v>457</v>
      </c>
      <c r="D7" s="24" t="b">
        <v>0</v>
      </c>
      <c r="E7" s="24" t="b">
        <v>0</v>
      </c>
      <c r="F7" s="24" t="b">
        <v>0</v>
      </c>
      <c r="G7" s="24" t="b">
        <v>0</v>
      </c>
    </row>
    <row r="8" spans="1:7" x14ac:dyDescent="0.2">
      <c r="A8" s="22"/>
      <c r="B8" t="s">
        <v>386</v>
      </c>
      <c r="C8" t="s">
        <v>720</v>
      </c>
      <c r="D8" s="24" t="b">
        <v>0</v>
      </c>
      <c r="E8" s="24" t="b">
        <v>0</v>
      </c>
      <c r="F8" s="24" t="b">
        <v>0</v>
      </c>
      <c r="G8" s="24" t="b">
        <v>0</v>
      </c>
    </row>
    <row r="9" spans="1:7" x14ac:dyDescent="0.2">
      <c r="A9" s="22"/>
      <c r="B9" t="s">
        <v>385</v>
      </c>
      <c r="C9" t="s">
        <v>723</v>
      </c>
      <c r="D9" s="24" t="b">
        <v>0</v>
      </c>
      <c r="E9" s="24" t="b">
        <v>0</v>
      </c>
      <c r="F9" s="24" t="b">
        <v>0</v>
      </c>
      <c r="G9" s="24" t="b">
        <v>0</v>
      </c>
    </row>
    <row r="10" spans="1:7" x14ac:dyDescent="0.2">
      <c r="A10" s="22"/>
      <c r="B10" t="s">
        <v>464</v>
      </c>
      <c r="C10" s="3" t="s">
        <v>724</v>
      </c>
      <c r="D10" s="24" t="b">
        <v>0</v>
      </c>
      <c r="E10" s="24" t="b">
        <v>0</v>
      </c>
      <c r="F10" s="24" t="b">
        <v>0</v>
      </c>
      <c r="G10" s="24" t="b">
        <v>0</v>
      </c>
    </row>
    <row r="11" spans="1:7" x14ac:dyDescent="0.2">
      <c r="A11" s="22"/>
      <c r="B11" t="s">
        <v>389</v>
      </c>
      <c r="C11" t="s">
        <v>171</v>
      </c>
      <c r="D11" s="24" t="b">
        <v>0</v>
      </c>
      <c r="E11" s="24" t="b">
        <v>0</v>
      </c>
      <c r="F11" s="24" t="b">
        <v>0</v>
      </c>
      <c r="G11" s="24" t="b">
        <v>0</v>
      </c>
    </row>
    <row r="12" spans="1:7" x14ac:dyDescent="0.2">
      <c r="A12" s="19" t="s">
        <v>465</v>
      </c>
      <c r="B12" t="s">
        <v>391</v>
      </c>
      <c r="C12" s="13" t="s">
        <v>501</v>
      </c>
      <c r="D12" s="24" t="b">
        <v>0</v>
      </c>
      <c r="E12" s="24" t="b">
        <v>0</v>
      </c>
      <c r="F12" s="24" t="b">
        <v>0</v>
      </c>
      <c r="G12" s="24" t="b">
        <v>0</v>
      </c>
    </row>
    <row r="13" spans="1:7" x14ac:dyDescent="0.2">
      <c r="A13" s="20"/>
      <c r="B13" t="s">
        <v>387</v>
      </c>
      <c r="C13" t="s">
        <v>463</v>
      </c>
      <c r="D13" s="24" t="b">
        <v>0</v>
      </c>
      <c r="E13" s="24" t="b">
        <v>0</v>
      </c>
      <c r="F13" s="24" t="b">
        <v>0</v>
      </c>
      <c r="G13" s="24" t="b">
        <v>0</v>
      </c>
    </row>
    <row r="14" spans="1:7" x14ac:dyDescent="0.2">
      <c r="A14" s="20"/>
      <c r="B14" t="s">
        <v>383</v>
      </c>
      <c r="C14" t="s">
        <v>510</v>
      </c>
      <c r="D14" s="24" t="b">
        <v>1</v>
      </c>
      <c r="E14" s="24" t="b">
        <v>0</v>
      </c>
      <c r="F14" s="24" t="b">
        <v>1</v>
      </c>
      <c r="G14" s="24" t="b">
        <v>0</v>
      </c>
    </row>
    <row r="15" spans="1:7" x14ac:dyDescent="0.2">
      <c r="A15" s="19" t="s">
        <v>540</v>
      </c>
      <c r="B15" t="s">
        <v>382</v>
      </c>
      <c r="C15" s="13" t="s">
        <v>372</v>
      </c>
      <c r="D15" s="24" t="b">
        <v>1</v>
      </c>
      <c r="E15" s="24" t="b">
        <v>0</v>
      </c>
      <c r="F15" s="24" t="b">
        <v>1</v>
      </c>
      <c r="G15" s="24" t="b">
        <v>0</v>
      </c>
    </row>
    <row r="16" spans="1:7" x14ac:dyDescent="0.2">
      <c r="A16" s="20"/>
      <c r="B16" t="s">
        <v>394</v>
      </c>
      <c r="C16" t="s">
        <v>719</v>
      </c>
      <c r="D16" s="24" t="b">
        <v>0</v>
      </c>
      <c r="E16" s="24" t="b">
        <v>1</v>
      </c>
      <c r="F16" s="24" t="b">
        <v>0</v>
      </c>
      <c r="G16" s="24" t="b">
        <v>1</v>
      </c>
    </row>
    <row r="17" spans="1:7" x14ac:dyDescent="0.2">
      <c r="A17" s="20"/>
      <c r="B17" t="s">
        <v>448</v>
      </c>
      <c r="C17" t="s">
        <v>725</v>
      </c>
      <c r="D17" s="24" t="b">
        <v>1</v>
      </c>
      <c r="E17" s="24" t="b">
        <v>0</v>
      </c>
      <c r="F17" s="24" t="b">
        <v>1</v>
      </c>
      <c r="G17" s="24" t="b">
        <v>0</v>
      </c>
    </row>
    <row r="18" spans="1:7" x14ac:dyDescent="0.2">
      <c r="A18" s="20"/>
      <c r="B18" t="s">
        <v>384</v>
      </c>
      <c r="C18" t="s">
        <v>504</v>
      </c>
      <c r="D18" s="24" t="b">
        <v>1</v>
      </c>
      <c r="E18" s="24" t="b">
        <v>0</v>
      </c>
      <c r="F18" s="24" t="b">
        <v>1</v>
      </c>
      <c r="G18" s="24" t="b">
        <v>0</v>
      </c>
    </row>
    <row r="19" spans="1:7" ht="22" customHeight="1" x14ac:dyDescent="0.2">
      <c r="A19" s="19" t="s">
        <v>466</v>
      </c>
      <c r="B19" t="s">
        <v>380</v>
      </c>
      <c r="C19" s="15" t="s">
        <v>542</v>
      </c>
      <c r="D19" s="24" t="b">
        <v>0</v>
      </c>
      <c r="E19" s="24" t="b">
        <v>1</v>
      </c>
      <c r="F19" s="24" t="b">
        <v>0</v>
      </c>
      <c r="G19" s="24" t="b">
        <v>1</v>
      </c>
    </row>
    <row r="20" spans="1:7" ht="16" x14ac:dyDescent="0.2">
      <c r="A20" s="20"/>
      <c r="B20" t="s">
        <v>390</v>
      </c>
      <c r="C20" s="2" t="s">
        <v>458</v>
      </c>
      <c r="D20" s="24" t="b">
        <v>0</v>
      </c>
      <c r="E20" s="24" t="b">
        <v>1</v>
      </c>
      <c r="F20" s="24" t="b">
        <v>0</v>
      </c>
      <c r="G20" s="24" t="b">
        <v>1</v>
      </c>
    </row>
    <row r="21" spans="1:7" ht="16" customHeight="1" x14ac:dyDescent="0.2">
      <c r="A21" s="20"/>
      <c r="B21" t="s">
        <v>459</v>
      </c>
      <c r="C21" s="2" t="s">
        <v>460</v>
      </c>
      <c r="D21" s="24" t="b">
        <v>0</v>
      </c>
      <c r="E21" s="24" t="b">
        <v>1</v>
      </c>
      <c r="F21" s="24" t="b">
        <v>0</v>
      </c>
      <c r="G21" s="24" t="b">
        <v>1</v>
      </c>
    </row>
  </sheetData>
  <mergeCells count="5">
    <mergeCell ref="A2:A6"/>
    <mergeCell ref="A7:A11"/>
    <mergeCell ref="A12:A14"/>
    <mergeCell ref="A15:A18"/>
    <mergeCell ref="A19:A21"/>
  </mergeCells>
  <phoneticPr fontId="8"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0909-ED46-C541-ACAD-0E2CDAD04D05}">
  <dimension ref="A1:D15"/>
  <sheetViews>
    <sheetView zoomScale="130" zoomScaleNormal="130" workbookViewId="0">
      <selection activeCell="D13" sqref="D13"/>
    </sheetView>
  </sheetViews>
  <sheetFormatPr baseColWidth="10" defaultRowHeight="15" x14ac:dyDescent="0.2"/>
  <cols>
    <col min="2" max="2" width="12.83203125" bestFit="1" customWidth="1"/>
    <col min="3" max="3" width="21" bestFit="1" customWidth="1"/>
    <col min="4" max="4" width="66.33203125" customWidth="1"/>
  </cols>
  <sheetData>
    <row r="1" spans="1:4" x14ac:dyDescent="0.2">
      <c r="B1" s="7" t="s">
        <v>279</v>
      </c>
      <c r="C1" s="7" t="s">
        <v>528</v>
      </c>
      <c r="D1" s="7" t="s">
        <v>630</v>
      </c>
    </row>
    <row r="2" spans="1:4" x14ac:dyDescent="0.2">
      <c r="A2" t="s">
        <v>615</v>
      </c>
      <c r="B2" s="23" t="s">
        <v>545</v>
      </c>
      <c r="C2" t="s">
        <v>548</v>
      </c>
      <c r="D2" t="s">
        <v>632</v>
      </c>
    </row>
    <row r="3" spans="1:4" ht="64" x14ac:dyDescent="0.2">
      <c r="A3" t="s">
        <v>616</v>
      </c>
      <c r="B3" s="23"/>
      <c r="C3" t="s">
        <v>546</v>
      </c>
      <c r="D3" s="2" t="s">
        <v>631</v>
      </c>
    </row>
    <row r="4" spans="1:4" ht="32" x14ac:dyDescent="0.2">
      <c r="A4" t="s">
        <v>617</v>
      </c>
      <c r="B4" s="23"/>
      <c r="C4" s="2" t="s">
        <v>547</v>
      </c>
      <c r="D4" t="s">
        <v>633</v>
      </c>
    </row>
    <row r="5" spans="1:4" ht="48" x14ac:dyDescent="0.2">
      <c r="A5" t="s">
        <v>618</v>
      </c>
      <c r="B5" s="23" t="s">
        <v>549</v>
      </c>
      <c r="C5" s="2" t="s">
        <v>550</v>
      </c>
      <c r="D5" s="2" t="s">
        <v>634</v>
      </c>
    </row>
    <row r="6" spans="1:4" ht="32" x14ac:dyDescent="0.2">
      <c r="A6" t="s">
        <v>619</v>
      </c>
      <c r="B6" s="23"/>
      <c r="C6" s="2" t="s">
        <v>551</v>
      </c>
      <c r="D6" t="s">
        <v>635</v>
      </c>
    </row>
    <row r="7" spans="1:4" ht="32" x14ac:dyDescent="0.2">
      <c r="A7" t="s">
        <v>620</v>
      </c>
      <c r="B7" s="23"/>
      <c r="C7" s="2" t="s">
        <v>552</v>
      </c>
      <c r="D7" s="2" t="s">
        <v>636</v>
      </c>
    </row>
    <row r="8" spans="1:4" ht="32" x14ac:dyDescent="0.2">
      <c r="A8" t="s">
        <v>621</v>
      </c>
      <c r="B8" s="23"/>
      <c r="C8" s="2" t="s">
        <v>553</v>
      </c>
      <c r="D8" t="s">
        <v>637</v>
      </c>
    </row>
    <row r="9" spans="1:4" ht="32" x14ac:dyDescent="0.2">
      <c r="A9" t="s">
        <v>622</v>
      </c>
      <c r="B9" s="23"/>
      <c r="C9" s="2" t="s">
        <v>554</v>
      </c>
    </row>
    <row r="10" spans="1:4" ht="32" x14ac:dyDescent="0.2">
      <c r="A10" t="s">
        <v>623</v>
      </c>
      <c r="B10" s="23"/>
      <c r="C10" s="2" t="s">
        <v>555</v>
      </c>
      <c r="D10" t="s">
        <v>638</v>
      </c>
    </row>
    <row r="11" spans="1:4" ht="16" x14ac:dyDescent="0.2">
      <c r="A11" t="s">
        <v>624</v>
      </c>
      <c r="B11" s="23"/>
      <c r="C11" s="2" t="s">
        <v>556</v>
      </c>
      <c r="D11" t="s">
        <v>639</v>
      </c>
    </row>
    <row r="12" spans="1:4" ht="96" x14ac:dyDescent="0.2">
      <c r="A12" t="s">
        <v>625</v>
      </c>
      <c r="B12" s="23" t="s">
        <v>557</v>
      </c>
      <c r="C12" s="2" t="s">
        <v>558</v>
      </c>
      <c r="D12" s="2" t="s">
        <v>640</v>
      </c>
    </row>
    <row r="13" spans="1:4" ht="80" x14ac:dyDescent="0.2">
      <c r="A13" t="s">
        <v>626</v>
      </c>
      <c r="B13" s="23"/>
      <c r="C13" s="2" t="s">
        <v>560</v>
      </c>
      <c r="D13" s="2" t="s">
        <v>641</v>
      </c>
    </row>
    <row r="14" spans="1:4" ht="16" x14ac:dyDescent="0.2">
      <c r="A14" t="s">
        <v>627</v>
      </c>
      <c r="B14" s="23"/>
      <c r="C14" s="2" t="s">
        <v>559</v>
      </c>
      <c r="D14" t="s">
        <v>642</v>
      </c>
    </row>
    <row r="15" spans="1:4" ht="16" x14ac:dyDescent="0.2">
      <c r="A15" t="s">
        <v>628</v>
      </c>
      <c r="B15" s="23"/>
      <c r="C15" s="2" t="s">
        <v>561</v>
      </c>
      <c r="D15" t="s">
        <v>643</v>
      </c>
    </row>
  </sheetData>
  <mergeCells count="3">
    <mergeCell ref="B2:B4"/>
    <mergeCell ref="B5:B11"/>
    <mergeCell ref="B12:B15"/>
  </mergeCells>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266D-B314-894A-B150-9C01D903D547}">
  <dimension ref="A1:C6"/>
  <sheetViews>
    <sheetView zoomScale="130" zoomScaleNormal="130" workbookViewId="0">
      <selection activeCell="C6" sqref="A1:C6"/>
    </sheetView>
  </sheetViews>
  <sheetFormatPr baseColWidth="10" defaultRowHeight="15" x14ac:dyDescent="0.2"/>
  <cols>
    <col min="3" max="3" width="56.6640625" customWidth="1"/>
  </cols>
  <sheetData>
    <row r="1" spans="1:3" x14ac:dyDescent="0.2">
      <c r="B1" s="7" t="s">
        <v>279</v>
      </c>
      <c r="C1" s="7" t="s">
        <v>630</v>
      </c>
    </row>
    <row r="2" spans="1:3" ht="96" x14ac:dyDescent="0.2">
      <c r="A2" t="s">
        <v>610</v>
      </c>
      <c r="B2" t="s">
        <v>562</v>
      </c>
      <c r="C2" s="2" t="s">
        <v>644</v>
      </c>
    </row>
    <row r="3" spans="1:3" ht="48" x14ac:dyDescent="0.2">
      <c r="A3" t="s">
        <v>611</v>
      </c>
      <c r="B3" t="s">
        <v>563</v>
      </c>
      <c r="C3" s="2" t="s">
        <v>645</v>
      </c>
    </row>
    <row r="4" spans="1:3" x14ac:dyDescent="0.2">
      <c r="A4" t="s">
        <v>612</v>
      </c>
      <c r="B4" t="s">
        <v>564</v>
      </c>
      <c r="C4" t="s">
        <v>646</v>
      </c>
    </row>
    <row r="5" spans="1:3" ht="32" x14ac:dyDescent="0.2">
      <c r="A5" t="s">
        <v>613</v>
      </c>
      <c r="B5" t="s">
        <v>565</v>
      </c>
      <c r="C5" s="2" t="s">
        <v>647</v>
      </c>
    </row>
    <row r="6" spans="1:3" ht="16" x14ac:dyDescent="0.2">
      <c r="A6" t="s">
        <v>614</v>
      </c>
      <c r="B6" t="s">
        <v>566</v>
      </c>
      <c r="C6" s="2" t="s">
        <v>648</v>
      </c>
    </row>
  </sheetData>
  <phoneticPr fontId="8"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C97C9-527A-FA45-BB1F-56EA9C8ADB11}">
  <dimension ref="A1:C6"/>
  <sheetViews>
    <sheetView zoomScale="130" zoomScaleNormal="130" workbookViewId="0">
      <selection sqref="A1:C6"/>
    </sheetView>
  </sheetViews>
  <sheetFormatPr baseColWidth="10" defaultRowHeight="15" x14ac:dyDescent="0.2"/>
  <cols>
    <col min="3" max="3" width="60" customWidth="1"/>
  </cols>
  <sheetData>
    <row r="1" spans="1:3" x14ac:dyDescent="0.2">
      <c r="B1" s="7" t="s">
        <v>279</v>
      </c>
      <c r="C1" t="s">
        <v>630</v>
      </c>
    </row>
    <row r="2" spans="1:3" x14ac:dyDescent="0.2">
      <c r="A2" t="s">
        <v>280</v>
      </c>
      <c r="B2" t="s">
        <v>567</v>
      </c>
      <c r="C2" t="s">
        <v>649</v>
      </c>
    </row>
    <row r="3" spans="1:3" x14ac:dyDescent="0.2">
      <c r="A3" t="s">
        <v>281</v>
      </c>
      <c r="B3" t="s">
        <v>568</v>
      </c>
      <c r="C3" t="s">
        <v>650</v>
      </c>
    </row>
    <row r="4" spans="1:3" ht="112" x14ac:dyDescent="0.2">
      <c r="A4" t="s">
        <v>285</v>
      </c>
      <c r="B4" t="s">
        <v>569</v>
      </c>
      <c r="C4" s="2" t="s">
        <v>651</v>
      </c>
    </row>
    <row r="5" spans="1:3" x14ac:dyDescent="0.2">
      <c r="A5" t="s">
        <v>288</v>
      </c>
      <c r="B5" t="s">
        <v>570</v>
      </c>
      <c r="C5" t="s">
        <v>652</v>
      </c>
    </row>
    <row r="6" spans="1:3" x14ac:dyDescent="0.2">
      <c r="A6" t="s">
        <v>291</v>
      </c>
      <c r="B6" t="s">
        <v>571</v>
      </c>
      <c r="C6" t="s">
        <v>653</v>
      </c>
    </row>
  </sheetData>
  <phoneticPr fontId="8" type="noConversion"/>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FF08-17E6-7F40-B0A5-C77589345C8F}">
  <dimension ref="A1:C14"/>
  <sheetViews>
    <sheetView workbookViewId="0">
      <selection activeCell="C14" sqref="A1:C14"/>
    </sheetView>
  </sheetViews>
  <sheetFormatPr baseColWidth="10" defaultRowHeight="15" x14ac:dyDescent="0.2"/>
  <cols>
    <col min="2" max="2" width="11.83203125" bestFit="1" customWidth="1"/>
    <col min="3" max="3" width="18.83203125" bestFit="1" customWidth="1"/>
  </cols>
  <sheetData>
    <row r="1" spans="1:3" x14ac:dyDescent="0.2">
      <c r="B1" s="7" t="s">
        <v>279</v>
      </c>
      <c r="C1" s="7" t="s">
        <v>528</v>
      </c>
    </row>
    <row r="2" spans="1:3" x14ac:dyDescent="0.2">
      <c r="A2" t="s">
        <v>597</v>
      </c>
      <c r="B2" s="23" t="s">
        <v>585</v>
      </c>
      <c r="C2" t="s">
        <v>572</v>
      </c>
    </row>
    <row r="3" spans="1:3" x14ac:dyDescent="0.2">
      <c r="A3" t="s">
        <v>598</v>
      </c>
      <c r="B3" s="23"/>
      <c r="C3" t="s">
        <v>573</v>
      </c>
    </row>
    <row r="4" spans="1:3" x14ac:dyDescent="0.2">
      <c r="A4" t="s">
        <v>599</v>
      </c>
      <c r="B4" s="23"/>
      <c r="C4" t="s">
        <v>574</v>
      </c>
    </row>
    <row r="5" spans="1:3" x14ac:dyDescent="0.2">
      <c r="A5" t="s">
        <v>600</v>
      </c>
      <c r="B5" s="23"/>
      <c r="C5" t="s">
        <v>575</v>
      </c>
    </row>
    <row r="6" spans="1:3" x14ac:dyDescent="0.2">
      <c r="A6" t="s">
        <v>601</v>
      </c>
      <c r="B6" s="23"/>
      <c r="C6" t="s">
        <v>576</v>
      </c>
    </row>
    <row r="7" spans="1:3" x14ac:dyDescent="0.2">
      <c r="A7" t="s">
        <v>602</v>
      </c>
      <c r="B7" s="23"/>
      <c r="C7" t="s">
        <v>577</v>
      </c>
    </row>
    <row r="8" spans="1:3" x14ac:dyDescent="0.2">
      <c r="A8" t="s">
        <v>603</v>
      </c>
      <c r="B8" s="23"/>
      <c r="C8" t="s">
        <v>578</v>
      </c>
    </row>
    <row r="9" spans="1:3" x14ac:dyDescent="0.2">
      <c r="A9" t="s">
        <v>604</v>
      </c>
      <c r="B9" s="23"/>
      <c r="C9" t="s">
        <v>579</v>
      </c>
    </row>
    <row r="10" spans="1:3" x14ac:dyDescent="0.2">
      <c r="A10" t="s">
        <v>605</v>
      </c>
      <c r="B10" s="23"/>
      <c r="C10" t="s">
        <v>580</v>
      </c>
    </row>
    <row r="11" spans="1:3" x14ac:dyDescent="0.2">
      <c r="A11" t="s">
        <v>606</v>
      </c>
      <c r="B11" s="23" t="s">
        <v>586</v>
      </c>
      <c r="C11" t="s">
        <v>581</v>
      </c>
    </row>
    <row r="12" spans="1:3" x14ac:dyDescent="0.2">
      <c r="A12" t="s">
        <v>607</v>
      </c>
      <c r="B12" s="23"/>
      <c r="C12" t="s">
        <v>582</v>
      </c>
    </row>
    <row r="13" spans="1:3" x14ac:dyDescent="0.2">
      <c r="A13" t="s">
        <v>608</v>
      </c>
      <c r="B13" s="23"/>
      <c r="C13" t="s">
        <v>583</v>
      </c>
    </row>
    <row r="14" spans="1:3" x14ac:dyDescent="0.2">
      <c r="A14" t="s">
        <v>609</v>
      </c>
      <c r="B14" s="23"/>
      <c r="C14" t="s">
        <v>584</v>
      </c>
    </row>
  </sheetData>
  <mergeCells count="2">
    <mergeCell ref="B2:B10"/>
    <mergeCell ref="B11:B14"/>
  </mergeCells>
  <phoneticPr fontId="8" type="noConversion"/>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D124-7492-7146-807C-52087177FA5E}">
  <dimension ref="A1:C6"/>
  <sheetViews>
    <sheetView zoomScale="130" zoomScaleNormal="130" workbookViewId="0">
      <selection activeCell="D5" sqref="D5"/>
    </sheetView>
  </sheetViews>
  <sheetFormatPr baseColWidth="10" defaultRowHeight="15" x14ac:dyDescent="0.2"/>
  <cols>
    <col min="2" max="2" width="25.33203125" bestFit="1" customWidth="1"/>
  </cols>
  <sheetData>
    <row r="1" spans="1:3" x14ac:dyDescent="0.2">
      <c r="B1" s="7" t="s">
        <v>279</v>
      </c>
      <c r="C1" s="7" t="s">
        <v>630</v>
      </c>
    </row>
    <row r="2" spans="1:3" x14ac:dyDescent="0.2">
      <c r="A2" t="s">
        <v>592</v>
      </c>
      <c r="B2" t="s">
        <v>587</v>
      </c>
      <c r="C2" t="s">
        <v>654</v>
      </c>
    </row>
    <row r="3" spans="1:3" x14ac:dyDescent="0.2">
      <c r="A3" t="s">
        <v>593</v>
      </c>
      <c r="B3" t="s">
        <v>588</v>
      </c>
      <c r="C3" t="s">
        <v>655</v>
      </c>
    </row>
    <row r="4" spans="1:3" x14ac:dyDescent="0.2">
      <c r="A4" t="s">
        <v>594</v>
      </c>
      <c r="B4" t="s">
        <v>589</v>
      </c>
      <c r="C4" t="s">
        <v>656</v>
      </c>
    </row>
    <row r="5" spans="1:3" x14ac:dyDescent="0.2">
      <c r="A5" t="s">
        <v>595</v>
      </c>
      <c r="B5" t="s">
        <v>590</v>
      </c>
      <c r="C5" t="s">
        <v>657</v>
      </c>
    </row>
    <row r="6" spans="1:3" x14ac:dyDescent="0.2">
      <c r="A6" t="s">
        <v>596</v>
      </c>
      <c r="B6" t="s">
        <v>591</v>
      </c>
      <c r="C6" t="s">
        <v>658</v>
      </c>
    </row>
  </sheetData>
  <phoneticPr fontId="8" type="noConversion"/>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1C696-392E-4F4C-BBB3-8F8F13870C2D}">
  <dimension ref="A1:C6"/>
  <sheetViews>
    <sheetView workbookViewId="0">
      <selection activeCell="E12" sqref="E12"/>
    </sheetView>
  </sheetViews>
  <sheetFormatPr baseColWidth="10" defaultRowHeight="15" x14ac:dyDescent="0.2"/>
  <cols>
    <col min="2" max="2" width="25.1640625" bestFit="1" customWidth="1"/>
  </cols>
  <sheetData>
    <row r="1" spans="1:3" ht="16" x14ac:dyDescent="0.2">
      <c r="A1" s="17"/>
      <c r="B1" s="17" t="s">
        <v>279</v>
      </c>
      <c r="C1" s="17" t="s">
        <v>630</v>
      </c>
    </row>
    <row r="2" spans="1:3" ht="18" x14ac:dyDescent="0.25">
      <c r="A2" s="18" t="s">
        <v>661</v>
      </c>
      <c r="B2" s="18" t="s">
        <v>670</v>
      </c>
      <c r="C2" s="18" t="s">
        <v>666</v>
      </c>
    </row>
    <row r="3" spans="1:3" ht="18" x14ac:dyDescent="0.25">
      <c r="A3" s="18" t="s">
        <v>662</v>
      </c>
      <c r="B3" s="18" t="s">
        <v>671</v>
      </c>
      <c r="C3" s="18" t="s">
        <v>667</v>
      </c>
    </row>
    <row r="4" spans="1:3" ht="18" x14ac:dyDescent="0.25">
      <c r="A4" s="18" t="s">
        <v>663</v>
      </c>
      <c r="B4" s="18" t="s">
        <v>672</v>
      </c>
      <c r="C4" s="18" t="s">
        <v>668</v>
      </c>
    </row>
    <row r="5" spans="1:3" ht="18" x14ac:dyDescent="0.25">
      <c r="A5" s="18" t="s">
        <v>664</v>
      </c>
      <c r="B5" s="18" t="s">
        <v>673</v>
      </c>
      <c r="C5" s="18" t="s">
        <v>669</v>
      </c>
    </row>
    <row r="6" spans="1:3" ht="18" x14ac:dyDescent="0.25">
      <c r="A6" s="18" t="s">
        <v>665</v>
      </c>
      <c r="B6" s="18" t="s">
        <v>674</v>
      </c>
      <c r="C6" s="18"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key information</vt:lpstr>
      <vt:lpstr>codes</vt:lpstr>
      <vt:lpstr>sub-themes</vt:lpstr>
      <vt:lpstr>themes</vt:lpstr>
      <vt:lpstr>comparison</vt:lpstr>
      <vt:lpstr>He et al. (2021)</vt:lpstr>
      <vt:lpstr>Teyton et al. (2014)</vt:lpstr>
      <vt:lpstr>Kabinna et al. (2016)</vt:lpstr>
      <vt:lpstr>Barbosa et al. (2022)</vt:lpstr>
      <vt:lpstr>Jaisri et al. (2025)</vt:lpstr>
      <vt:lpstr>Bavota et al. (2015)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Peerachai Banyongrakkul</cp:lastModifiedBy>
  <dcterms:created xsi:type="dcterms:W3CDTF">2026-01-06T07:07:00Z</dcterms:created>
  <dcterms:modified xsi:type="dcterms:W3CDTF">2026-04-18T13:00:31Z</dcterms:modified>
</cp:coreProperties>
</file>