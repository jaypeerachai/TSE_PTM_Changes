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pbanyongrakkul/Downloads/"/>
    </mc:Choice>
  </mc:AlternateContent>
  <xr:revisionPtr revIDLastSave="0" documentId="13_ncr:1_{C00CE2F3-D3B4-7147-BDD6-720763EB2F78}" xr6:coauthVersionLast="47" xr6:coauthVersionMax="47" xr10:uidLastSave="{00000000-0000-0000-0000-000000000000}"/>
  <bookViews>
    <workbookView xWindow="0" yWindow="680" windowWidth="30240" windowHeight="17840" xr2:uid="{00000000-000D-0000-FFFF-FFFF00000000}"/>
  </bookViews>
  <sheets>
    <sheet name="raw_text" sheetId="4" r:id="rId1"/>
    <sheet name="keypoints" sheetId="5" r:id="rId2"/>
    <sheet name="coding" sheetId="7" r:id="rId3"/>
    <sheet name="codebook" sheetId="10" r:id="rId4"/>
    <sheet name="theme" sheetId="9" r:id="rId5"/>
  </sheets>
  <definedNames>
    <definedName name="_xlnm._FilterDatabase" localSheetId="2" hidden="1">coding!$D$1:$F$94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7" l="1"/>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 i="7"/>
  <c r="G10" i="7"/>
  <c r="G11" i="7"/>
  <c r="G12" i="7"/>
  <c r="G13" i="7"/>
  <c r="G14" i="7"/>
  <c r="G15" i="7"/>
  <c r="G16" i="7"/>
  <c r="G17" i="7"/>
  <c r="G18" i="7"/>
  <c r="G19" i="7"/>
  <c r="G20" i="7"/>
  <c r="G21" i="7"/>
  <c r="G22" i="7"/>
  <c r="G23" i="7"/>
  <c r="G24" i="7"/>
  <c r="G25" i="7"/>
  <c r="G26" i="7"/>
  <c r="G27" i="7"/>
  <c r="G3" i="7"/>
  <c r="G4" i="7"/>
  <c r="G5" i="7"/>
  <c r="G6" i="7"/>
  <c r="G7" i="7"/>
  <c r="G8" i="7"/>
  <c r="G2" i="7"/>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2" i="7"/>
  <c r="D2" i="9" l="1"/>
  <c r="I3" i="9" a="1"/>
  <c r="I3" i="9" s="1"/>
  <c r="G4" i="9" a="1"/>
  <c r="G4" i="9" s="1"/>
  <c r="E4" i="9" a="1"/>
  <c r="E4" i="9" s="1"/>
  <c r="E2" i="9" a="1"/>
  <c r="E2" i="9" s="1"/>
  <c r="I5" i="9" a="1"/>
  <c r="I5" i="9" s="1"/>
  <c r="G3" i="9" a="1"/>
  <c r="G3" i="9" s="1"/>
  <c r="F2" i="9" a="1"/>
  <c r="F2" i="9" s="1"/>
  <c r="H7" i="9" a="1"/>
  <c r="H7" i="9" s="1"/>
  <c r="G5" i="9" a="1"/>
  <c r="G5" i="9" s="1"/>
  <c r="E5" i="9" a="1"/>
  <c r="E5" i="9" s="1"/>
  <c r="G6" i="9" a="1"/>
  <c r="G6" i="9" s="1"/>
  <c r="I2" i="9" a="1"/>
  <c r="I2" i="9" s="1"/>
  <c r="F4" i="9" a="1"/>
  <c r="F4" i="9" s="1"/>
  <c r="H3" i="9" a="1"/>
  <c r="H3" i="9" s="1"/>
  <c r="H6" i="9" a="1"/>
  <c r="H6" i="9" s="1"/>
  <c r="E3" i="9" a="1"/>
  <c r="E3" i="9" s="1"/>
  <c r="E6" i="9" a="1"/>
  <c r="E6" i="9" s="1"/>
  <c r="D3" i="9"/>
  <c r="D4" i="9"/>
  <c r="D5" i="9"/>
  <c r="D6" i="9"/>
  <c r="D7" i="9"/>
  <c r="H4" i="9" a="1"/>
  <c r="H4" i="9" s="1"/>
  <c r="F6" i="9" a="1"/>
  <c r="F6" i="9" s="1"/>
  <c r="E7" i="9" a="1"/>
  <c r="E7" i="9" s="1"/>
  <c r="H2" i="9" a="1"/>
  <c r="H2" i="9" s="1"/>
  <c r="F5" i="9" a="1"/>
  <c r="F5" i="9" s="1"/>
  <c r="H5" i="9" a="1"/>
  <c r="H5" i="9" s="1"/>
  <c r="F3" i="9" a="1"/>
  <c r="F3" i="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<sst xmlns="http://schemas.openxmlformats.org/spreadsheetml/2006/main" count="1457" uniqueCount="722">
  <si>
    <t>sample_row_key</t>
  </si>
  <si>
    <t>change_type</t>
  </si>
  <si>
    <t>associated_version</t>
  </si>
  <si>
    <t>to_name</t>
  </si>
  <si>
    <t>to_version</t>
  </si>
  <si>
    <t>id</t>
  </si>
  <si>
    <t>https://github.com/intel/neural-compressor/pull/1108</t>
  </si>
  <si>
    <t>https://github.com/Extralit/extralit/commit/c6eadab07339675d776ce77c06a7aa3fc0d84240</t>
  </si>
  <si>
    <t>Update dependencies in pyproject.toml to align with project requirements</t>
  </si>
  <si>
    <t>https://github.com/ShishirPatil/gorilla/pull/988</t>
  </si>
  <si>
    <t>https://github.com/infiniflow/ragflow/pull/4536</t>
  </si>
  <si>
    <t>https://github.com/ITM-Kitware/align-system/pull/19</t>
  </si>
  <si>
    <t>https://github.com/swirlai/swirl-search/commit/c7030a609b5e87cf7988e1eec873e4ab187221aa</t>
  </si>
  <si>
    <t>update pinecone package after sudden deprecation, on develop</t>
  </si>
  <si>
    <t>Update to the new pinecone package after sudden deprecation of pinecone-client version</t>
  </si>
  <si>
    <t>https://github.com/swirlai/swirl-search/pull/1532</t>
  </si>
  <si>
    <t>https://github.com/axolotl-ai-cloud/axolotl/commit/3cc67d2cdd95196e4e9ae28fe2c6512092100e21</t>
  </si>
  <si>
    <t>https://github.com/axolotl-ai-cloud/axolotl/releases/tag/v0.4.0</t>
  </si>
  <si>
    <t>Feat: Add dataset loading from S3, GCS</t>
  </si>
  <si>
    <t>https://github.com/axolotl-ai-cloud/axolotl/pull/765</t>
  </si>
  <si>
    <t>https://github.com/erfanzar/EasyDeL/commit/1d1c71f12f1d4c0dd2c7598a272f26ae926a312a</t>
  </si>
  <si>
    <t>moving from fjformer -&gt; eformer, fixing hackable arrays or implicit issues</t>
  </si>
  <si>
    <t>https://github.com/davidberenstein1957/classy-classification/issues/46</t>
  </si>
  <si>
    <t>https://github.com/bentoml/BentoML/commit/a59750c5044bab60b6b3765e6c17041fd8984712</t>
  </si>
  <si>
    <t>https://github.com/bentoml/BentoML/releases/tag/v1.1.9</t>
  </si>
  <si>
    <t>build: Use official nvidia-ml-py package instead of fork</t>
  </si>
  <si>
    <t>https://github.com/bentoml/BentoML/pull/4208</t>
  </si>
  <si>
    <t>https://github.com/lnccbrown/HSSM/releases/tag/v0.2.6</t>
  </si>
  <si>
    <t>https://github.com/lnccbrown/HSSM/pull/612</t>
  </si>
  <si>
    <t>https://github.com/infiniflow/ragflow/issues/8588</t>
  </si>
  <si>
    <t>https://github.com/hpcaitech/ColossalAI/pull/4784</t>
  </si>
  <si>
    <t>https://github.com/deepspeedai/DeepSpeed/issues/5517</t>
  </si>
  <si>
    <t>https://github.com/ShishirPatil/gorilla/pull/343</t>
  </si>
  <si>
    <t>https://github.com/verl-project/verl/pull/1010</t>
  </si>
  <si>
    <t>[feat] Remove benchmark related content</t>
  </si>
  <si>
    <t>Replace pycryptodome with cryptography, to resolve code scanning alert</t>
  </si>
  <si>
    <t>https://github.com/microsoft/presidio/pull/1537</t>
  </si>
  <si>
    <t>https://github.com/microsoft/presidio/issues/1538</t>
  </si>
  <si>
    <t>https://github.com/arthur-ai/arthur-engine/commit/d4928e59a3d89f3ed94c03f960db809a3b6686ed</t>
  </si>
  <si>
    <t>chore: upgrade Python version and dependencies across the project</t>
  </si>
  <si>
    <t>https://github.com/intel/neural-compressor/commit/17036587d84d2b42e0e9eb501d175e78d552c063</t>
  </si>
  <si>
    <t>Remove deprecated modules</t>
  </si>
  <si>
    <t>Remove deprecated modules, neural_solution, neural_insights, neural_coder</t>
  </si>
  <si>
    <t>https://github.com/intel/neural-compressor/pull/1872</t>
  </si>
  <si>
    <t>https://github.com/bitsandbytes-foundation/bitsandbytes/issues/1490</t>
  </si>
  <si>
    <t>Switched from Tensorflow to PyTorch for DCA (and LLM) related tasks</t>
  </si>
  <si>
    <t>https://github.com/niklases/PyPEF/pull/11</t>
  </si>
  <si>
    <t>https://github.com/aiverify-foundation/moonshot-data/releases/tag/0.4.7</t>
  </si>
  <si>
    <t>https://github.com/aiverify-foundation/moonshot-data/pull/93</t>
  </si>
  <si>
    <t>https://github.com/PrunaAI/pruna/commit/3acd8617d7098d385652cf3c0806cd230ef2c0ca</t>
  </si>
  <si>
    <t>https://github.com/PrunaAI/pruna/releases/tag/v0.2.7</t>
  </si>
  <si>
    <t>https://github.com/PrunaAI/pruna/pull/227</t>
  </si>
  <si>
    <t>https://github.com/PrunaAI/pruna/issues/225</t>
  </si>
  <si>
    <t>https://github.com/infiniflow/ragflow/issues/1547</t>
  </si>
  <si>
    <t>https://github.com/TransformerLensOrg/TransformerLens/pull/325</t>
  </si>
  <si>
    <t>https://github.com/scaleapi/llm-engine/pull/478</t>
  </si>
  <si>
    <t>https://github.com/pixeltable/pixeltable/commit/9d20d03cbf7e944a2bbd5e16b2f8853d88cc2db8</t>
  </si>
  <si>
    <t>Fix for backwards-incompatible Mistral API change</t>
  </si>
  <si>
    <t>The latest version of the Mistral SDK contains backward-incompatible API
changes. This updates Pixeltable for compatibility</t>
  </si>
  <si>
    <t>https://github.com/pixeltable/pixeltable/pull/368</t>
  </si>
  <si>
    <t>https://github.com/TransformerLensOrg/TransformerLens/issues/164</t>
  </si>
  <si>
    <t>https://github.com/pixeltable/pixeltable/pull/666</t>
  </si>
  <si>
    <t>Updated dependency versions and added new dependencies for improved compatibility.</t>
  </si>
  <si>
    <t>https://github.com/axolotl-ai-cloud/axolotl/pull/3019</t>
  </si>
  <si>
    <t>https://github.com/swirlai/swirl-search/commit/797b2044106ad85544e0b7b637afe5ab38385eeb</t>
  </si>
  <si>
    <t>fresh requirements.txt with Python 3.12 comptabile pinned versions</t>
  </si>
  <si>
    <t>https://github.com/niklases/PyPEF/commit/78ca486970f5da15a0371f10b1bb6ab76c8eabbf</t>
  </si>
  <si>
    <t>https://github.com/aiverify-foundation/moonshot-data/commit/0cc1c52650ad9c808e3da8da525648d4cab39380</t>
  </si>
  <si>
    <t>update pypoetry to use compatibility</t>
  </si>
  <si>
    <t>https://github.com/stanford-crfm/helm/pull/1681</t>
  </si>
  <si>
    <t>https://github.com/syne-tune/syne-tune/commit/aafe2beb75de2436d028504491f720a3dcd4fdbe</t>
  </si>
  <si>
    <t>Change deprecated sklearn -&gt; scikit-learn</t>
  </si>
  <si>
    <t>https://github.com/syne-tune/syne-tune/pull/443</t>
  </si>
  <si>
    <t>https://github.com/syne-tune/syne-tune/issues/444</t>
  </si>
  <si>
    <t>https://github.com/intel/openvino-ai-plugins-gimp/commit/54f09db4292c318b3658d99f8b1f9cace84fab5e</t>
  </si>
  <si>
    <t>https://github.com/mlflow/mlflow/commit/e7c55eeb20d58945c8f54708466a577b37b349dc</t>
  </si>
  <si>
    <t>Update devcontainer to use Python 3.9</t>
  </si>
  <si>
    <t>https://github.com/mlflow/mlflow/pull/13602</t>
  </si>
  <si>
    <t>https://github.com/PrunaAI/pruna/pull/41</t>
  </si>
  <si>
    <t>https://github.com/PrunaAI/pruna/issues/21</t>
  </si>
  <si>
    <t>support parquet dataset in grain and refactor</t>
  </si>
  <si>
    <t>https://github.com/AI-Hypercomputer/maxtext/pull/1535</t>
  </si>
  <si>
    <t>https://github.com/AI-Hypercomputer/maxtext/commit/d931f5e2a5424f05693cbef286ac03344f25c611</t>
  </si>
  <si>
    <t>https://github.com/xming521/WeClone/commit/cdef4213cfb02a5c186dee853748c88d3227788d</t>
  </si>
  <si>
    <t>https://github.com/hpcaitech/ColossalAI/pull/5020</t>
  </si>
  <si>
    <t>https://github.com/microsoft/presidio/pull/1497</t>
  </si>
  <si>
    <t>https://github.com/microsoft/presidio/issues/1496</t>
  </si>
  <si>
    <t>freezing requirements for 3.1.0</t>
  </si>
  <si>
    <t>https://github.com/intel/openvino-ai-plugins-gimp/pull/183</t>
  </si>
  <si>
    <t>https://github.com/inseq-team/inseq/pull/168</t>
  </si>
  <si>
    <t>https://github.com/triton-inference-server/model_navigator/commit/c62e6e7892cebae7f091030b6708deac2b7c8b80</t>
  </si>
  <si>
    <t>New Onnx Runtime for new pythons only</t>
  </si>
  <si>
    <t>new: New version of Onnx Runtime 1.20 for python version &gt;= 3.10</t>
  </si>
  <si>
    <t>https://github.com/vllm-project/vllm/pull/2730</t>
  </si>
  <si>
    <t>https://github.com/swirlai/swirl-search/commit/2b61ddfb80ac64b1188609ffb1da9099a72db9f7</t>
  </si>
  <si>
    <t>freeze requirements.txt under Python 3.12.5</t>
  </si>
  <si>
    <t>https://github.com/infiniflow/ragflow/issues/3070</t>
  </si>
  <si>
    <t>https://github.com/mlflow/mlflow/pull/12474</t>
  </si>
  <si>
    <t>https://github.com/infiniflow/ragflow/issues/2857</t>
  </si>
  <si>
    <t>https://github.com/SaintsSec/Navi/commit/2e8a37c4d5f63d8c90d019cb280575c5c6298bf4</t>
  </si>
  <si>
    <t>https://github.com/SaintsSec/Navi/pull/99</t>
  </si>
  <si>
    <t>doc_type</t>
  </si>
  <si>
    <t>url</t>
  </si>
  <si>
    <t>raw_text</t>
  </si>
  <si>
    <t>pull_request</t>
  </si>
  <si>
    <t>replace opencv with opencv-python-headless to avoid issue 'ImportError: libGL.so.1' cased by opencv-python</t>
  </si>
  <si>
    <t>commit</t>
  </si>
  <si>
    <t>Add the following new models to the leaderboard: mistral-large-2411 mistral-large-2411-FC mistral-small-2503 mistral-small-2503-FC</t>
  </si>
  <si>
    <t>issue</t>
  </si>
  <si>
    <t>[Bug]: Cant' run on Mac M1 arm64 I build local docker image, and the system can start up, but can't sign in and sign up. the log shows it's py_mini_racer‘s error ,it can't support arm64 The issue has been resolved. I uninstalled akshare 1.15.69 and reinstalled version 1.15.76. Thank you!</t>
  </si>
  <si>
    <t>Dev/change bert score implementation Change bert implementation over to the more standard (or so it seems at least): https://github.com/Tiiiger/bert_score</t>
  </si>
  <si>
    <t>release</t>
  </si>
  <si>
    <t>The current version of package is unstable and exceptions occur I try to use the package with ONNX runtime, but the current version works very unstable and doesn't work in most cases.
Also it seems fast-sentence-transformers package is outdated.
I try to run examples from Readme and I get errors. It seems the dependency versions currently specified in pyproject.toml are not fully compatible with the package code. I think we need to specify the version ranges of the major dependencies with which the package will definitely work without errors (I hope semver will work). spaCy, sentence-transformers, transformers, onnx/onnxruntime. Also it seems fast-sentence-transformers package is outdated for the current version of sentence-transformers package.</t>
  </si>
  <si>
    <t>Replace Poetry with uv for dependency management and workflows</t>
  </si>
  <si>
    <t>Replace Poetry with uv for dependency management and workflows This pull request includes significant changes to the setup and testing workflows, as well as updates to the project's dependency management. The most important changes include the replacement of Poetry with uv for environment setup and dependency management, consolidation of test workflows, and updates to the pyproject.toml file to align with the new dependency management tool. Dependency Management: pyproject.toml: Transitioned from Poetry to uv for dependency management. Updated the file structure to conform to the new tool, including changes to dependencies and build system. [1] [2]</t>
  </si>
  <si>
    <t>Start ragflow server with mcp server encounter Error: No such option: --base_url Did you mean --base-url? By the way. I am using the main branch. And I've checked the code. the root cause is that 'docker/entrypoint.sh' and 'mcp/server/server.py' are mismatched.</t>
  </si>
  <si>
    <t>https://github.com/infiniflow/ragflow/issues/8986</t>
  </si>
  <si>
    <t>[Question]: mcp unrecognized arguments: base-url and api-key There are trivial breaking changes introduced by #8421. In short, we changed base_url to base-url and api_key to api-key, which creates inconsistencies between the latest codebase and the released version. These issues will be automatically resolved in the next release.</t>
  </si>
  <si>
    <t>[feature] Colossal-LLaMA-2: Continual Pre-training of LLaMA-2 Add project for continual pre-training of LLaMA-2.</t>
  </si>
  <si>
    <t>[REQUEST] pynvml package seems to be deprecated in favor of nvidia-ml-py Managing package dependencies is complicated by deepspeed having a requirement of pynvml instead of nvidia-ml-py. It seems that pynvml has been folded back into the nvidia-ml-py project, as both seem to have nearly identical pypi pages, but nvidia-ml-py has been updated recently while pynvml has been dormant for a year. Please replace the pynvml entry in requirements.txt with nvidia-ml-py. At some point, it's likely that pynvml 11.5 will stop working with updated nvidia drivers unless it starts getting updates again.</t>
  </si>
  <si>
    <t>Update requirements.txt Running gorilla_falcon_cli.py withou einops package returns the following error: ImportError: This modeling file requires the following packages that were not found in your environment: einops. Run pip install einops</t>
  </si>
  <si>
    <t>According to dicussion in #896, this PR immigrates from yapf &amp; pylint to ruff based on pre-commit, which allows unified version control and automatic hook on committing. The pre-commit hook and CI checks staged / committed files in commits / PR's
checks all files each month (This should fail before we fix all the files by the ruff standard) Explanation for the Failing CI Workflow pre-commit
For now, we only apply ruff format and ruff check --fix without resolving all the errors, since there are too many errors to resolve, which causes the CI workflow pre-commit fails.
For resolving the remaining errors, we leave to future commits. Specifically, the pre-commit hook and CI will require every commit to fix its related files with ruff, which will fix all the files incrementally.</t>
  </si>
  <si>
    <t>https://github.com/InternRobotics/InternUtopia/commit/10f618cbbc60956873c76456fbbe4e61040aa93b</t>
  </si>
  <si>
    <t>Fix code scanning alert - Usage of unapproved crypto library</t>
  </si>
  <si>
    <t>bitsandbytes forces non-dev version of PyTorch When I have a dev version of PyTorch installed, the ~=2.0 dependency appears to cause PyTorch to be downgraded, which might not be intended. Quite likely &gt;=2.0&lt;3 would work better.</t>
  </si>
  <si>
    <t>[Ms 524][BE] Fix datasets package incompatibility</t>
  </si>
  <si>
    <t>Update package requirements incompatibility with moonshot-data To update package requirements. There is an error in the unit tests that failed due to the difference in datasets packages between both projects</t>
  </si>
  <si>
    <t>build: reduce core dependencies in pyproject.toml * remove not required deps. make more deps optional.</t>
  </si>
  <si>
    <t>build: reduce core dependencies in pyproject.toml As described in the issue, I have removed the redundant packaging libraries which are handled by hatchling (setuptools,packaging,build) and reduced the number of core dependencies required for the package. All the dependencies which are not explicitly imported are kept in the optional dependencies. pip install .` [this branch] =161 packages (20% reduction)</t>
  </si>
  <si>
    <t>Reduce the amount of core dependencies in pyproject.toml I was exploring the pyproject.toml for the project and I noticed some dependencies that can be safely removed in the [project] section without any major breaking changes. Firstly, setuptools and packaging is not required to be in the dependencies as hatchling is a PEP517 compliant and it implements the same functionality without the usage of setuptools and packaging. Using the grep and find command, I found that some dependencies are not explicitly used in the codebase, we could make these dependencies optional to reduce the size of the library and make it efficient as well.</t>
  </si>
  <si>
    <t>build: reduce core dependencies in pyproject.toml by @ParagEkbote in #227 @ParagEkbote made pruna more lightweight and reduced the package dependencies by 20%!</t>
  </si>
  <si>
    <t>[Bug]: requirements.txt can't install successfully</t>
  </si>
  <si>
    <t>Switching to beartype from typeguard due to incompatibility with jaxtyping on the latest version</t>
  </si>
  <si>
    <t>Downgrade sse-starlette version The updated version has weird behavior with streaming in the http-forwarder (tokens getting streamed back were batched so time to first token was very long; we expect to get tokens back at a steady rate instead) I tried sse-starlette version 1.8.2 to see if it was the major version bump (1.8.2 -&gt; 2.0.0) that broke things, but 1.8.2 still had the weird behavior, so downgrading to the original version of 1.6.1 from before the security scan updates</t>
  </si>
  <si>
    <t>Convert all TorchTyping to JaxTyping This project uses Patrick Kidger's torch typing to give tensor types including shapes. He recommends using JAXTyping for newer projects (not JAX specific, better maintained, more compatible with type checkers, etc) And it'd be good to update TL to use it.</t>
  </si>
  <si>
    <t>Update dev versions of many libraries used by Pixeltable Updates many of the dependencies used in our dev environment including torch, transformers, spacy, and many of our inference provider SDKs. This is a necessary step towards being able to fully test in Python 3.13 as well as ensuring we are correctly supporting the latest versions of our integrations.</t>
  </si>
  <si>
    <t>Update requirements: docopt -&gt; docopt-ng
Original docopt does not use pyproject.toml for installation but docopt-ng does</t>
  </si>
  <si>
    <t>Groups dependencies by "extras" group; these will later be used for split out optional dependencies. Removes requirements.txt, which is no longer used; this means we don't have to keep two copies of the same dependency list.</t>
  </si>
  <si>
    <t>Fix dependencies due to "sklearn" deprecation sklearn (on PyPI) is deprecated -&gt; scikit-learn, see https://pypi.org/project/sklearn/ Our direct dependencies are fixed in #443, but there are indirect dependencies. We currently (in #443) use a work-around, but should find out which dependencies are problematic, and bump them up.</t>
  </si>
  <si>
    <t>AutoGPTQ is now deprecated. This PR switches our GPTQ algorithm to gptqmodel instead. autogptq already caused problems with supporting python 3.12.</t>
  </si>
  <si>
    <t>[BUG] Pruna installation fails with Python 3.12 Pruna installation fails with Python 3.12 due to auto-gptq.</t>
  </si>
  <si>
    <t>support parquet dataset in grain and refactor Usage demo of using grain with parquet files migrate grain to the recommended lazy data API refactor grain to separate pretrain and dpo preprocessing pipelines</t>
  </si>
  <si>
    <t>Upgrades openai, vllm, torch, transformers, and triton to their latest versions. This ensures compatibility, incorporates recent bug fixes, and leverages performance improvements across the project.</t>
  </si>
  <si>
    <t>add pytest; modified retriever [Feature] Add document retrieval QA</t>
  </si>
  <si>
    <t>Update presidio containers to use gunicorn pdated the command from Flaks to Gunicorn in the Dockerfiles</t>
  </si>
  <si>
    <t>Update Presidio Containers to use Gunicorn Replace Flask's built-in server with Gunicorn in Presidio's Docker containers for better performance, scalability, and production readiness. Operate more efficiently with improved resource utilization and performance, particularly under higher traffic loads Added ability to scale workers and handle concurrent requests Aligns with best practices for deploying Python web applications into production scenarios</t>
  </si>
  <si>
    <t>Migrate docs to furo Use furo for a cleaner Sphinx theme</t>
  </si>
  <si>
    <t>md</t>
  </si>
  <si>
    <t>https://github.com/triton-inference-server/model_navigator/commit/c62e6e7892cebae7f091030b6708deac2b7c8b80#diff-06572a96a58dc510037d5efa622f9bec8519bc1beab13c9f251e97e657a9d4ed</t>
  </si>
  <si>
    <t>Port metrics from aioprometheus to prometheus_client As mentioned in #2316 (comment), prometheus_client: Is the official Prometheus Python client s more actively maintained than aioprometheus Has &gt;23x more stars than aioprometheus This PR ports the metrics from aioprometheus to prometheus_client.</t>
  </si>
  <si>
    <t>[Feature Request]: Switch from Redis to Valkey 8.x The changes to Redis' latest licencing model move it away from a true open-source model and may restrict how Ragflow will be used in the future. Considering Redis's recent change to the licensing model, I would like to promote a shift to using 'Valkey' 8.x as a replacement for Redis to ensure that this project remains a bona fide open-source project. Valkey is the official Redis fork supported by The Linux Foundation, Amazon/AWS and Oracle.</t>
  </si>
  <si>
    <t>The Python dependencies installed in the devcontainer have been updated to allow a contributor to get started quickly without encountering issues.</t>
  </si>
  <si>
    <t>https://github.com/syne-tune/syne-tune/pull/442</t>
  </si>
  <si>
    <t>the remaining sklearn -&gt; scikitl=-learn fixed it.</t>
  </si>
  <si>
    <t>[Question]: Add qwen-plus in docker self-hosted server Get the api-key in alibaba cloud, it works well with python examples, through url: https://dashscope-intl.aliyuncs.com/api/v1. But when trying to add in ragflow web, get an error message:
hint : 102
Fail to access model(qwen-plus) using this api key.ERROR: Invalid API-key provided.</t>
  </si>
  <si>
    <t>[FIX] Missing install</t>
  </si>
  <si>
    <t>[ADD] Command history. After evaluating numerous approaches towards enabling command history in the terminal, I landed on the prompt_toolkit library due to its easy setup, robust toolsets, and cross-platform design.</t>
  </si>
  <si>
    <t>number_row_keys</t>
  </si>
  <si>
    <t>change_name</t>
  </si>
  <si>
    <t>['3090||101373||1||8979||8977||migration||grain-nightly||||||grain||d931f5e2a5424f05693cbef286ac03344f25c611||requirements.txt']</t>
  </si>
  <si>
    <t>['migration']</t>
  </si>
  <si>
    <t>['grain-nightly']</t>
  </si>
  <si>
    <t>[nan]</t>
  </si>
  <si>
    <t>['grain']</t>
  </si>
  <si>
    <t>['782||25052||2||2293||2291||added||llama-index-vector-stores-weaviate||~= 1.0.0||||||c6eadab07339675d776ce77c06a7aa3fc0d84240||extralit/pyproject.toml']</t>
  </si>
  <si>
    <t>['added']</t>
  </si>
  <si>
    <t>['llama-index-vector-stores-weaviate']</t>
  </si>
  <si>
    <t>['~= 1.0.0']</t>
  </si>
  <si>
    <t>['3502||132324||1||12465||12464||added||bert-score||^0.3.13||||||6584d5e43a776cb70e4bd6d5099bc9450c4ccdd4||pyproject.toml']</t>
  </si>
  <si>
    <t>['bert-score']</t>
  </si>
  <si>
    <t>['^0.3.13']</t>
  </si>
  <si>
    <t>['4189||233801||1||15053||15052||removed||httpx||==0.25.2||||||10f618cbbc60956873c76456fbbe4e61040aa93b||grutopia_extension/agents/mobile_manipulation_agent/requirements.txt']</t>
  </si>
  <si>
    <t>['removed']</t>
  </si>
  <si>
    <t>['httpx']</t>
  </si>
  <si>
    <t>['1003||35685||1||2733||2732||removed||peft||||||||3acd8617d7098d385652cf3c0806cd230ef2c0ca||pyproject.toml']</t>
  </si>
  <si>
    <t>['peft']</t>
  </si>
  <si>
    <t>['997||35685||1||2739||2738||migration||auto-gptq||*||||gptqmodel||db761d5ba5cdd2cafb1f645c0969da44c85ba3d1||pyproject.toml']</t>
  </si>
  <si>
    <t>['auto-gptq']</t>
  </si>
  <si>
    <t>['*']</t>
  </si>
  <si>
    <t>['gptqmodel']</t>
  </si>
  <si>
    <t>['1844||62938||1||5790||5788||added||prompt-toolkit||==3.0.48||||||2e8a37c4d5f63d8c90d019cb280575c5c6298bf4||install/requirements.txt']</t>
  </si>
  <si>
    <t>['prompt-toolkit']</t>
  </si>
  <si>
    <t>['1465||55589||1||4569||4568||added||einops||==0.7.0||||||16866336b74743706c6d1cd8c6aa650574176f3f||inference/requirements.txt']</t>
  </si>
  <si>
    <t>['einops']</t>
  </si>
  <si>
    <t>['1469||55589||1||4565||4564||updated||mistralai||==1.1.0||==1.7.0||||9d6abd543580055e44b6d57b2cbdcc7cf8a76f06||berkeley-function-call-leaderboard/pyproject.toml']</t>
  </si>
  <si>
    <t>['updated']</t>
  </si>
  <si>
    <t>['mistralai']</t>
  </si>
  <si>
    <t>['1.1.0']</t>
  </si>
  <si>
    <t>['1.7.0']</t>
  </si>
  <si>
    <t>['2383||86906||1||7492||7491||migration||torchtyping||^0.1.4||||jaxtyping||30ed77338f54b765a80d7e12d8fa24b5281c3145||pyproject.toml']</t>
  </si>
  <si>
    <t>['torchtyping']</t>
  </si>
  <si>
    <t>['^0.1.4']</t>
  </si>
  <si>
    <t>['jaxtyping']</t>
  </si>
  <si>
    <t>['2387||86906||1||7488||7487||migration||typeguard||^3.0.2||||beartype||10d2f8a026d73eada861c7d51064f7e24d8f482c||pyproject.toml']</t>
  </si>
  <si>
    <t>['typeguard']</t>
  </si>
  <si>
    <t>['^3.0.2']</t>
  </si>
  <si>
    <t>['beartype']</t>
  </si>
  <si>
    <t>['931||34392||1||2655||2654||updated||nltk||3.9.1||^3.9.1||||0cc1c52650ad9c808e3da8da525648d4cab39380||pyproject.toml', '931||34392||1||2655||2654||updated||bert-score||0.3.13||^0.3.13||||0cc1c52650ad9c808e3da8da525648d4cab39380||pyproject.toml']</t>
  </si>
  <si>
    <t>['updated', 'updated']</t>
  </si>
  <si>
    <t>['nltk', 'bert-score']</t>
  </si>
  <si>
    <t>['3.9.1', '0.3.13']</t>
  </si>
  <si>
    <t>[nan, nan]</t>
  </si>
  <si>
    <t>['^3.9.1', '^0.3.13']</t>
  </si>
  <si>
    <t>['927||34392||1||2659||2658||updated||datasets||==2.14.4 ; python_version &gt;= "3.11" and python_version &lt; "3.12"||==2.21.0 ; python_version &gt;= "3.11" and python_version &lt; "3.12"||||edb401f4f5910d475b9ba698233913cb1450f046||requirements.txt']</t>
  </si>
  <si>
    <t>['datasets']</t>
  </si>
  <si>
    <t>['1133||40772||1||2993||2992||updated||python-dotenv||==1.0.1||==1.1.1||||d4928e59a3d89f3ed94c03f960db809a3b6686ed||genai-engine/locust/requirements.txt']</t>
  </si>
  <si>
    <t>['python-dotenv']</t>
  </si>
  <si>
    <t>['2281||82290||1||7240||7239||added||s3fs||||||||3cc67d2cdd95196e4e9ae28fe2c6512092100e21||requirements.txt']</t>
  </si>
  <si>
    <t>['s3fs']</t>
  </si>
  <si>
    <t>['2291||82290||1||7225||7223||updated||trl||==0.18.2||==0.21.0||||9d5c95db6f4d883252fdb1183e82d0b354ff76a2||requirements.txt']</t>
  </si>
  <si>
    <t>['trl']</t>
  </si>
  <si>
    <t>['2740||96297||1||8105||8104||migration||pynvml||&lt;12||||nvidia-ml-py||a59750c5044bab60b6b3765e6c17041fd8984712||pyproject.toml']</t>
  </si>
  <si>
    <t>['pynvml']</t>
  </si>
  <si>
    <t>['&lt;12']</t>
  </si>
  <si>
    <t>['nvidia-ml-py']</t>
  </si>
  <si>
    <t>['713||22246||1||2056||2054||updated||torch||~=2.0||&gt;=2.0,&lt;3||||6de46d99b35df53021bbc95aeffcb7bb41efa131||pyproject.toml']</t>
  </si>
  <si>
    <t>['torch']</t>
  </si>
  <si>
    <t>['~=2.0']</t>
  </si>
  <si>
    <t>['&gt;=2.0,&lt;3']</t>
  </si>
  <si>
    <t>['1373||53462||1||4379||4378||added||terminado||&lt;0.18||||||6577a26ca799c15649d1133553015d8f44aaefd2||pyproject.toml']</t>
  </si>
  <si>
    <t>['terminado']</t>
  </si>
  <si>
    <t>['&lt;0.18']</t>
  </si>
  <si>
    <t>['2237||76664||1||6947||6946||migration||pynvml||||||nvidia-ml-py||82ce4ae815d6cab4ffea97427dfa1e0b0ff59f93||requirements/requirements.txt']</t>
  </si>
  <si>
    <t>['1231||46785||1||3373||3372||migration||fjformer||0.0.91||||eformer||1d1c71f12f1d4c0dd2c7598a272f26ae926a312a||pyproject.toml']</t>
  </si>
  <si>
    <t>['fjformer']</t>
  </si>
  <si>
    <t>['0.0.91']</t>
  </si>
  <si>
    <t>['eformer']</t>
  </si>
  <si>
    <t>['1675||56906||1||4983||4982||added||tensorboard||==2.14.0||||||74aa7d964a8fbb9a9a4865ecd9ac2bda817c3ef2||applications/Colossal-LLaMA-2/requirements.txt']</t>
  </si>
  <si>
    <t>['tensorboard']</t>
  </si>
  <si>
    <t>['1676||56906||1||4982||4981||added||pytest||==7.4.2||||||e53e729d8ed3571835b259b04efe474e51f4624a||applications/ColossalQA/requirements.txt']</t>
  </si>
  <si>
    <t>['pytest']</t>
  </si>
  <si>
    <t>['2863||97877||1||8515||8514||removed||fsspec||==2023.10.0||||||701e5be53549e3c0cb08a74db8012810a2e3738f||requirements.txt', '2863||97877||1||8515||8514||removed||python-docx||==1.1.0||||||701e5be53549e3c0cb08a74db8012810a2e3738f||requirements.txt']</t>
  </si>
  <si>
    <t>['removed', 'removed']</t>
  </si>
  <si>
    <t>['fsspec', 'python-docx']</t>
  </si>
  <si>
    <t>['2867||97877||1||8511||8510||updated||dashscope||1.14.1||1.20.11||||6a60e260202114852a919aebdee8e2c968a0fa05||pyproject.toml']</t>
  </si>
  <si>
    <t>['dashscope']</t>
  </si>
  <si>
    <t>['1.14.1']</t>
  </si>
  <si>
    <t>['1.20.11']</t>
  </si>
  <si>
    <t>['2868||97877||1||8510||8509||migration||redis||5.0.3||||valkey||37d71dfa9067a8b68a94605dc76f466f97452fc9||pyproject.toml']</t>
  </si>
  <si>
    <t>['redis']</t>
  </si>
  <si>
    <t>['5.0.3']</t>
  </si>
  <si>
    <t>['valkey']</t>
  </si>
  <si>
    <t>['2878||97877||1||8499||8498||updated||mcp||&gt;=1.6.0||&gt;=1.9.4||||03656da4dd8549904a102fb833b98cead88354b8||pyproject.toml']</t>
  </si>
  <si>
    <t>['mcp']</t>
  </si>
  <si>
    <t>['&gt;=1.6.0']</t>
  </si>
  <si>
    <t>['&gt;=1.9.4']</t>
  </si>
  <si>
    <t>['2872||97877||1||8506||8505||updated||akshare||^1.14.81||&gt;=1.15.78,&lt;2.0.0||||2962284c799aa33f7e8009979a14217dea0ba976||pyproject.toml']</t>
  </si>
  <si>
    <t>['akshare']</t>
  </si>
  <si>
    <t>['^1.14.81']</t>
  </si>
  <si>
    <t>['&gt;=1.15.78,&lt;2.0.0']</t>
  </si>
  <si>
    <t>['3612||149926||1||13078||13077||migration||sphinx-rtd-theme||^1.0.0||||furo||22848bd8640e478a23e5bd40e4f3902fa2111016||pyproject.toml']</t>
  </si>
  <si>
    <t>['sphinx-rtd-theme']</t>
  </si>
  <si>
    <t>['^1.0.0']</t>
  </si>
  <si>
    <t>['furo']</t>
  </si>
  <si>
    <t>['23||1649||1||98||97||removed||uvicorn||||||||17036587d84d2b42e0e9eb501d175e78d552c063||neural_solution/requirements.txt', '23||1649||1||98||97||removed||neural-compressor||&gt;=2.2||||||17036587d84d2b42e0e9eb501d175e78d552c063||neural_insights/requirements.txt']</t>
  </si>
  <si>
    <t>['uvicorn', 'neural-compressor']</t>
  </si>
  <si>
    <t>[nan, '&gt;=2.2']</t>
  </si>
  <si>
    <t>['18||1649||1||106||105||migration||opencv-python||||||opencv-python-headless||f8a72445ccf6c8ce971a2b19b012ce94106c96d9||requirements.txt']</t>
  </si>
  <si>
    <t>['opencv-python']</t>
  </si>
  <si>
    <t>['opencv-python-headless']</t>
  </si>
  <si>
    <t>['3380||115210||1||11928||11927||added||cachetools||==5.5.2||||||54f09db4292c318b3658d99f8b1f9cace84fab5e||requirements.txt']</t>
  </si>
  <si>
    <t>['cachetools']</t>
  </si>
  <si>
    <t>['3308||110330||1||11235||11233||removed||mkdocstrings-python||^1.10.0||||||706ca2bda7888f2dfe076f0652c5e311314f0f54||pyproject.toml']</t>
  </si>
  <si>
    <t>['mkdocstrings-python']</t>
  </si>
  <si>
    <t>['^1.10.0']</t>
  </si>
  <si>
    <t>['93||6567||1||296||295||added||gunicorn||*||||||a081c22b46ea6c69621edf28792fb19868f79969||presidio-image-redactor/pyproject.toml']</t>
  </si>
  <si>
    <t>['gunicorn']</t>
  </si>
  <si>
    <t>['95||6567||1||294||293||migration||pycryptodome||&gt;=3.10.1||||cryptography||515280566c00fa69bbfede900aa844bec0316f1a||presidio-anonymizer/pyproject.toml']</t>
  </si>
  <si>
    <t>['pycryptodome']</t>
  </si>
  <si>
    <t>['&gt;=3.10.1']</t>
  </si>
  <si>
    <t>['cryptography']</t>
  </si>
  <si>
    <t>['680||21283||38||1921||1856||updated||huggingface-hub||==0.10.1||==0.23.5||||e7c55eeb20d58945c8f54708466a577b37b349dc||.devcontainer/requirements.txt']</t>
  </si>
  <si>
    <t>['huggingface-hub']</t>
  </si>
  <si>
    <t>['680||21283||38||1921||1856||updated||responses||==0.22.0||==0.25.3||||a3d451affa4e995297d612d8ab30d8d9f03fbb83||.devcontainer/requirements.txt']</t>
  </si>
  <si>
    <t>['responses']</t>
  </si>
  <si>
    <t>['680||21283||38||1921||1856||updated||huggingface-hub||==0.10.1||==0.23.5||||e7c55eeb20d58945c8f54708466a577b37b349dc||.devcontainer/requirements.txt', '680||21283||38||1921||1856||updated||werkzeug||==2.2.2||==3.0.6||||e7c55eeb20d58945c8f54708466a577b37b349dc||.devcontainer/requirements.txt', '680||21283||38||1921||1856||updated||scikit-learn||==1.1.3||==1.5.2||||e7c55eeb20d58945c8f54708466a577b37b349dc||.devcontainer/requirements.txt']</t>
  </si>
  <si>
    <t>['updated', 'updated', 'updated']</t>
  </si>
  <si>
    <t>['huggingface-hub', 'werkzeug', 'scikit-learn']</t>
  </si>
  <si>
    <t>[nan, nan, nan]</t>
  </si>
  <si>
    <t>['4027||212418||1||14520||14519||migration||docopt||||||docopt-ng||78ca486970f5da15a0371f10b1bb6ab76c8eabbf||requirements.txt']</t>
  </si>
  <si>
    <t>['docopt']</t>
  </si>
  <si>
    <t>['docopt-ng']</t>
  </si>
  <si>
    <t>['4025||212418||1||14522||14521||migration||tensorflow||||||torch||b12e8fb32e18f2ca6068e952186a6ed081ca5ae7||requirements.txt']</t>
  </si>
  <si>
    <t>['tensorflow']</t>
  </si>
  <si>
    <t>['743||23507||1||2141||2140||updated||mistralai||^1.0.3||^1.2.1||||9d20d03cbf7e944a2bbd5e16b2f8853d88cc2db8||pyproject.toml']</t>
  </si>
  <si>
    <t>['^1.0.3']</t>
  </si>
  <si>
    <t>['^1.2.1']</t>
  </si>
  <si>
    <t>['766||23507||1||2115||2114||updated||openai||&gt;=1.63.0||&gt;=1.86.0||||a1e464de3d323610d8f992d03ba705e957f123ec||pyproject.toml']</t>
  </si>
  <si>
    <t>['openai']</t>
  </si>
  <si>
    <t>['&gt;=1.63.0']</t>
  </si>
  <si>
    <t>['&gt;=1.86.0']</t>
  </si>
  <si>
    <t>['4004||211152||1||14479||14478||updated||sse-starlette||==2.0.0||==1.6.1||||100fa10cf2d06d83c97bd36f320a4ac167d380b0||model-engine/requirements.txt']</t>
  </si>
  <si>
    <t>['sse-starlette']</t>
  </si>
  <si>
    <t>['2.0.0']</t>
  </si>
  <si>
    <t>['1.6.1']</t>
  </si>
  <si>
    <t>['30||2403||1||156||155||removed||pytrec-eval||==0.5||||||05ce7e8e6e8cc072bf1047d374490e0fbc7e1915||requirements.txt']</t>
  </si>
  <si>
    <t>['pytrec-eval']</t>
  </si>
  <si>
    <t>[0.5]</t>
  </si>
  <si>
    <t>['442||17600||1||1520||1519||updated||google-crc32c||==1.5.0||==1.6.0||||2b61ddfb80ac64b1188609ffb1da9099a72db9f7||requirements.txt', '442||17600||1||1520||1519||updated||safetensors||==0.4.3||==0.4.5||||2b61ddfb80ac64b1188609ffb1da9099a72db9f7||requirements.txt', '442||17600||1||1520||1519||updated||rpds-py||==0.19.0||==0.20.0||||2b61ddfb80ac64b1188609ffb1da9099a72db9f7||requirements.txt', '442||17600||1||1520||1519||updated||cachetools||==5.3.3||==5.5.0||||2b61ddfb80ac64b1188609ffb1da9099a72db9f7||requirements.txt']</t>
  </si>
  <si>
    <t>['updated', 'updated', 'updated', 'updated']</t>
  </si>
  <si>
    <t>['google-crc32c', 'safetensors', 'rpds-py', 'cachetools']</t>
  </si>
  <si>
    <t>[nan, nan, nan, nan]</t>
  </si>
  <si>
    <t>['439||17600||1||1524||1522||updated||blis||==0.7.10||==0.7.11||||797b2044106ad85544e0b7b637afe5ab38385eeb||requirements.txt']</t>
  </si>
  <si>
    <t>['blis']</t>
  </si>
  <si>
    <t>['445||17600||1||1517||1516||migration||pinecone-client||==5.0.1||||pinecone||c7030a609b5e87cf7988e1eec873e4ab187221aa||requirements.txt']</t>
  </si>
  <si>
    <t>['pinecone-client']</t>
  </si>
  <si>
    <t>['pinecone']</t>
  </si>
  <si>
    <t>['3811||180769||1||13526||13525||migration||sklearn||||||scikit-learn||a229c87129374c73a252221d77d44f3b24b08f71||benchmarking/nursery/benchmark_automl/requirements.txt']</t>
  </si>
  <si>
    <t>['sklearn']</t>
  </si>
  <si>
    <t>['scikit-learn']</t>
  </si>
  <si>
    <t>['3811||180769||1||13526||13525||migration||sklearn||||||scikit-learn||a229c87129374c73a252221d77d44f3b24b08f71||benchmarking/nursery/benchmark_automl/requirements.txt', '3811||180769||1||13526||13525||migration||sklearn||||||scikit-learn||a229c87129374c73a252221d77d44f3b24b08f71||syne_tune/blackbox_repository/requirements.txt']</t>
  </si>
  <si>
    <t>['migration', 'migration']</t>
  </si>
  <si>
    <t>['sklearn', 'sklearn']</t>
  </si>
  <si>
    <t>['scikit-learn', 'scikit-learn']</t>
  </si>
  <si>
    <t>['3811||180769||1||13526||13525||migration||sklearn||||||scikit-learn||a229c87129374c73a252221d77d44f3b24b08f71||syne_tune/blackbox_repository/requirements.txt']</t>
  </si>
  <si>
    <t>["118||7704||1||639||632||updated||onnxruntime||~=1.17;platform_machine == 'aarch64'||~=1.20;platform_machine == 'aarch64' and python_version &gt;= '3.10'||||c62e6e7892cebae7f091030b6708deac2b7c8b80||pyproject.toml"]</t>
  </si>
  <si>
    <t>['onnxruntime']</t>
  </si>
  <si>
    <t>["~=1.17;platform_machine == 'aarch64'"]</t>
  </si>
  <si>
    <t>["~=1.20;platform_machine == 'aarch64' and python_version &gt;= '3.10'"]</t>
  </si>
  <si>
    <t>['3343||113256||3||11561||11555||added||pre-commit||||||||b00f77d8559b48d57a33c0132a5ba1c81891a536||requirements.txt']</t>
  </si>
  <si>
    <t>['pre-commit']</t>
  </si>
  <si>
    <t>['1929||67180||1||6132||6131||migration||aioprometheus||||||prometheus-client||ef978fe4111b0eb91c81eceba4d9791b94c7ffbf||requirements.txt']</t>
  </si>
  <si>
    <t>['aioprometheus']</t>
  </si>
  <si>
    <t>['prometheus-client']</t>
  </si>
  <si>
    <t>['3734||162404||1||13313||13312||updated||openai||==1.76.0||==1.87.0||||cdef4213cfb02a5c186dee853748c88d3227788d||pyproject.toml']</t>
  </si>
  <si>
    <t>['1.76.0']</t>
  </si>
  <si>
    <t>['1.87.0"']</t>
  </si>
  <si>
    <t>keypoints</t>
  </si>
  <si>
    <t>migrate from grain-nightly to grain to support parquet datasets</t>
  </si>
  <si>
    <t>add llama-index-vector-stores-weaviate to align dependencies with project requirements</t>
  </si>
  <si>
    <t>add bert-score to switch to the more standard bert score implementation</t>
  </si>
  <si>
    <t>remove httpx because benchmark-related content was removed</t>
  </si>
  <si>
    <t>migrate from auto-gptq to gptqmodel because auto-gptq causes installation failure on Python 3.12</t>
  </si>
  <si>
    <t>remove peft to remove redundant packaging libraries</t>
  </si>
  <si>
    <t>1. migrate from auto-gptq to gptqmodel because auto-gptq is deprecated
2. migrate from auto-gptq to gptqmodel because auto-gptq caused Python 3.12 support problems</t>
  </si>
  <si>
    <t>remove peft to make software codebase more lightweight</t>
  </si>
  <si>
    <t>add prompt-toolkit because install dependencies were missing</t>
  </si>
  <si>
    <t>add einops because running gorilla_falcon_cli.py without it raises an ImportError</t>
  </si>
  <si>
    <t>update mistralai to add new models to the leaderboard</t>
  </si>
  <si>
    <t>1. migrate from torchtyping to jaxtyping because jaxtyping is better maintained
2. migrate from torchtyping to jaxtyping because jaxtyping is more compatible with type checkers</t>
  </si>
  <si>
    <t>migrate from typeguard to beartype because typeguard is incompatible with jaxtyping on the latest version</t>
  </si>
  <si>
    <t>update deps to fix incompatibility issues</t>
  </si>
  <si>
    <t>1. update datasets to fix package incompatibility</t>
  </si>
  <si>
    <t>1. update python-dotenv to upgrade Python version and dependencies across the project</t>
  </si>
  <si>
    <t>1. add s3fs to add dataset loading from S3 and GCS</t>
  </si>
  <si>
    <t>1. update trl to improve compatibility</t>
  </si>
  <si>
    <t>1. migrate from pynvml to nvidia-ml-py to use the official NVIDIA package instead of the fork</t>
  </si>
  <si>
    <t>1. migrate from pynvml to nvidia-ml-py because nvidia-ml-py is the official package and pynvml is a fork
2. migrate from pynvml to nvidia-ml-py because gpustat installs nvidia-ml-py and overwrites the BentoML dependency</t>
  </si>
  <si>
    <t>1. migrate from pynvml to nvidia-ml-py to use the official package instead of the fork</t>
  </si>
  <si>
    <t>1. update torch to avoid downgrading dev versions of PyTorch (incompatbility)
2. update torch to use a version range that works better than ~=2.0</t>
  </si>
  <si>
    <t>1. add terminado because the current package setup is unstable and throws exceptions 
2. add terminado because the dependency versions in pyproject.toml are not fully compatible with the code</t>
  </si>
  <si>
    <t>1. migrate from pynvml to nvidia-ml-py because pynvml seems deprecated in favor of nvidia-ml-py and nvidia-ml-py is still actively updated 
2. migrate from pynvml to nvidia-ml-py because pynvml may stop working with updated NVIDIA drivers</t>
  </si>
  <si>
    <t>1. migrate from fjformer to eformer to fix hackable arrays or implicit issues</t>
  </si>
  <si>
    <t>1. add tensorboard to add a project for continual pre-training of LLaMA-2</t>
  </si>
  <si>
    <t>1. add pytest to add document retrieval QA</t>
  </si>
  <si>
    <t xml:space="preserve">1. remove deps because requirements.txt could not install successfully </t>
  </si>
  <si>
    <t>1. update dashscope to support qwen-plus in the docker self-hosted server 
2. update dashscope to address the invalid API-key error when accessing qwen-plus</t>
  </si>
  <si>
    <t>1. migrate from redis to valkey because Redis's licensing changes move it away from a true open-source model 
2. migrate from redis to valkey because Valkey is the official Redis fork</t>
  </si>
  <si>
    <t>1. update mcp to fix the --base_url/--base-url mismatch error when starting the ragflow server with the mcp server 
2. update mcp because docker/entrypoint.sh and mcp/server/server.py are mismatched</t>
  </si>
  <si>
    <t>1. update mcp to address breaking changes from base_url/api_key being changed to base-url/api-key
2. update mcp to resolve inconsistencies between the latest codebase and the released version</t>
  </si>
  <si>
    <t>1. update akshare to resolve the Mac M1 arm64-related issue</t>
  </si>
  <si>
    <t xml:space="preserve">	1. migrate from sphinx-rtd-theme to furo to use a cleaner Sphinx theme</t>
  </si>
  <si>
    <t xml:space="preserve">1. remove deps because deprecated modules were removed </t>
  </si>
  <si>
    <t>migrate from opencv-python to opencv-python-headless to avoid the ImportError caused by opencv-python</t>
  </si>
  <si>
    <t>1. migrate from opencv-python to opencv-python-headless to avoid the ImportError caused by opencv-python</t>
  </si>
  <si>
    <t>1. remove deps because deprecated modules, neural_solution, neural_insights, and neural_coder were removed removed</t>
  </si>
  <si>
    <t>2. add cachetools to freeze requirements compatibie for python 3.1.0</t>
  </si>
  <si>
    <t>1. add cachetools to freeze requirements compatible for python 3.1.0</t>
  </si>
  <si>
    <t>1. remove mkdocstrings-python to replace Poetry with uv for dependency management and workflows 
2. remove mkdocstrings-python to align pyproject.toml with the new dependency management tool</t>
  </si>
  <si>
    <t>1. remove mkdocstrings-python to replace Poetry with uv for dependency management and workflows</t>
  </si>
  <si>
    <t>1. migrate from pycryptodome to cryptography to fix a code scanning alert about an unapproved crypto library</t>
  </si>
  <si>
    <t>1. add gunicorn to update Presidio containers to use Gunicorn instead of Flask</t>
  </si>
  <si>
    <t>1. migrate from pycryptodome to cryptography to resolve a code scanning alert</t>
  </si>
  <si>
    <t>1. update huggingface-hub to update devcontainer to compatible with Python 3.9</t>
  </si>
  <si>
    <t>1. update responses to update devcontainer dependencies so contributors can get started quickly without incompatbility issues</t>
  </si>
  <si>
    <t>1. update deps to update devcontainer to use Python 3.9</t>
  </si>
  <si>
    <t>1. migrate from docopt to docopt-ng because docopt-ng uses pyproject.toml for installation while docopt does not</t>
  </si>
  <si>
    <t>1. migrate from tensorflow to torch for DCA and LLM-related tasks</t>
  </si>
  <si>
    <t>1. update mistralai to fix a backwards-incompatible Mistral API change</t>
  </si>
  <si>
    <t>1. update mistralai to make Pixeltable compatible with backward-incompatible API changes in the latest Mistral SDK</t>
  </si>
  <si>
    <t>1. update openai to help fully test in Python 3.13 2. update openai to support the latest versions of integrations</t>
  </si>
  <si>
    <t xml:space="preserve">1. update sse-starlette to fix weird streaming behavior in the http-forwarder </t>
  </si>
  <si>
    <t>1. remove pytrec-eval because requirements.txt is no longer used (project requirements/policy)</t>
  </si>
  <si>
    <t>1. update versions of deps to freeze requirements.txt under Python 3.12.5</t>
  </si>
  <si>
    <t>1. update blis to use Python 3.12 compatible pinned versions</t>
  </si>
  <si>
    <t>1. migrate from pinecone-client to pinecone after sudden deprecation of pinecone-client</t>
  </si>
  <si>
    <t>1. migrate from sklearn to scikit-learn because sklearn is deprecated</t>
  </si>
  <si>
    <t xml:space="preserve">1. migrate from sklearn to scikit-learn because sklearn is deprecated </t>
  </si>
  <si>
    <t>1. update onnxruntime to use a new Onnx Runtime version for newer Python versions only</t>
  </si>
  <si>
    <t>1. update onnxruntime to use Onnx Runtime 1.20 for Python version &gt;= 3.10</t>
  </si>
  <si>
    <t>1. add pre-commit to migrate from yapf and pylint to ruff-based pre-commit 
2. add pre-commit to enable unified version control and automatic hooks on commit 
3. add pre-commit to incrementally enforce ruff fixes through CI and commits</t>
  </si>
  <si>
    <t>1. migrate from aioprometheus to prometheus-client because prometheus-client is the official Prometheus Python client 
2. migrate from aioprometheus to prometheus-client because prometheus-client is more actively maintained than aioprometheus</t>
  </si>
  <si>
    <t>1. update openai to ensure compatibility 
2. update openai to incorporate recent bug fixes 
3. update openai to leverage performance improvements</t>
  </si>
  <si>
    <t>1. add prompt-toolkit to enable command history in the terminal
2. add prompt-toolkit because it has easy setup and robust and cross-platform toolset</t>
  </si>
  <si>
    <t>1. migrate from grain-nightly to grain to support parquet datasets</t>
  </si>
  <si>
    <t>1. add llama-index-vector-stores-weaviate to align dependencies with project requirements</t>
  </si>
  <si>
    <t>1. add bert-score to switch to the more standard bert score implementation</t>
  </si>
  <si>
    <t>1. remove httpx because benchmark-related content was removed</t>
  </si>
  <si>
    <t>1. remove peft to reduce core dependencies  (reduce size)</t>
  </si>
  <si>
    <t>1. migrate from auto-gptq to gptqmodel because auto-gptq causes installation failure on Python 3.12</t>
  </si>
  <si>
    <t>1. remove peft to reduce the amount of core dependencies (reduce size) as some dependencies are not explicitly used</t>
  </si>
  <si>
    <t>1. remove peft to remove redundant packaging libraries</t>
  </si>
  <si>
    <t>1. remove peft to make software codebase more lightweight</t>
  </si>
  <si>
    <t>1. add prompt-toolkit because install dependencies were missing</t>
  </si>
  <si>
    <t>1. add einops because running gorilla_falcon_cli.py without it raises an ImportError</t>
  </si>
  <si>
    <t>1. update mistralai to add new models to the leaderboard</t>
  </si>
  <si>
    <t>1. migrate from typeguard to beartype because typeguard is incompatible with jaxtyping on the latest version</t>
  </si>
  <si>
    <t>1. update deps to fix incompatibility issues</t>
  </si>
  <si>
    <t>1. update datasets to fix package requirement incompatibility with moonshot-data</t>
  </si>
  <si>
    <t>There are two packages in PyPI installing a pynvml module - pynvml and nvidia-ml-py. The former is a forked version of the latter, which is the official package published by NVIDIA. I stumbled upon this because I built a virtual environment that also installs gpustat, and that failed because that package pulls in nvidia-ml-py, thus overwriting the BentoML dependency.</t>
  </si>
  <si>
    <t>Code</t>
  </si>
  <si>
    <t>support new data handling capability</t>
  </si>
  <si>
    <t>align dependencies with project needs</t>
  </si>
  <si>
    <t>remove dependency due to feature retirement</t>
  </si>
  <si>
    <t>reduce dependency footprint</t>
  </si>
  <si>
    <t>1. reduce dependency footprint 
2. remove unnecessary dependency</t>
  </si>
  <si>
    <t>1. support new data handling capability</t>
  </si>
  <si>
    <t>1. align dependencies with project needs</t>
  </si>
  <si>
    <t>1. adopt a more suitable implementation</t>
  </si>
  <si>
    <t>1. remove dependency due to feature retirement</t>
  </si>
  <si>
    <t>1. reduce dependency footprint</t>
  </si>
  <si>
    <t>1. remove redundant dependency</t>
  </si>
  <si>
    <t>1. resolve environment compatibility issue</t>
  </si>
  <si>
    <t>1. remove peft as some dependencies are not explicitly used</t>
  </si>
  <si>
    <t>1. add dependency for new feature support 
2. adopt dependency with better usability</t>
  </si>
  <si>
    <t>1. fix missing dependency</t>
  </si>
  <si>
    <t>1. support new functionality</t>
  </si>
  <si>
    <t>1. support new models</t>
  </si>
  <si>
    <t>1. replace dependency with better-maintained alternative 
2. improve compatibility with related tooling</t>
  </si>
  <si>
    <t>1. resolve dependency incompatibility</t>
  </si>
  <si>
    <t>1. upgrade environment and dependencies</t>
  </si>
  <si>
    <t>1. improve compatibility</t>
  </si>
  <si>
    <t>1. replace dependency with official alternative</t>
  </si>
  <si>
    <t>1. replace dependency with official alternative
2. resolve dependency incompatibility</t>
  </si>
  <si>
    <t>1. resolve dependency incompatibility
2. improve version compatibility</t>
  </si>
  <si>
    <t>1. fix dependency-related instability 
2. resolve dependency incompatibility</t>
  </si>
  <si>
    <t>1. replace deprecated dependency 
2. upstream dependency update</t>
  </si>
  <si>
    <t>1. fix installation issue</t>
  </si>
  <si>
    <t>1. fix general bugs</t>
  </si>
  <si>
    <t>1. support new functionality 
2. fix API-key bugs</t>
  </si>
  <si>
    <t>1. replace dependency due to licensing concerns 
2. replace dependency with open alternative</t>
  </si>
  <si>
    <t>1. fix interface mismatch 
2. fix component inconsistency</t>
  </si>
  <si>
    <t>1. adapt to breaking upstream changes 
2. fix release-version inconsistency</t>
  </si>
  <si>
    <t>1. resolve dependency-related runtime issue</t>
  </si>
  <si>
    <t>1. stabilize dependency versions</t>
  </si>
  <si>
    <t>1. change dependency management approach 
2. align project configuration with tooling</t>
  </si>
  <si>
    <t>1. change dependency management approach</t>
  </si>
  <si>
    <t>1. improve performance and production readiness</t>
  </si>
  <si>
    <t xml:space="preserve">1. add gunicorn to replace Flask's built-in server for better performance, scalability, and production readiness </t>
  </si>
  <si>
    <t>1. change server/runtime dependency for deployment</t>
  </si>
  <si>
    <t>1. security concern</t>
  </si>
  <si>
    <t>1. improve environment compatibility</t>
  </si>
  <si>
    <t>1. replace dependency to match packaging/tooling requirements</t>
  </si>
  <si>
    <t>1. replace dependency to support task requirements</t>
  </si>
  <si>
    <t>1. adapt to breaking upstream changes</t>
  </si>
  <si>
    <t>1. fix dependency-related runtime issue</t>
  </si>
  <si>
    <t>1. remove unnecessary dependency</t>
  </si>
  <si>
    <t>1. replace deprecated dependency</t>
  </si>
  <si>
    <t>1. upgrade dependencies for future compatibility</t>
  </si>
  <si>
    <t>1. standardize development workflow
2. strengthen automated quality checks</t>
  </si>
  <si>
    <t>1. replace dependency with better-maintained alternative</t>
  </si>
  <si>
    <t>1. upgrade dependencies for compatibility, fixes, and performance</t>
  </si>
  <si>
    <t>code</t>
  </si>
  <si>
    <t>Z1</t>
  </si>
  <si>
    <t>Z2</t>
  </si>
  <si>
    <t>Z4</t>
  </si>
  <si>
    <t>Z5</t>
  </si>
  <si>
    <t>Z6</t>
  </si>
  <si>
    <t>Z8</t>
  </si>
  <si>
    <t>Z9</t>
  </si>
  <si>
    <t>Z11</t>
  </si>
  <si>
    <t>adopt dependency with better usability</t>
  </si>
  <si>
    <t>Z12</t>
  </si>
  <si>
    <t>support new models</t>
  </si>
  <si>
    <t>Z13</t>
  </si>
  <si>
    <t>replace dependency with better-maintained alternative</t>
  </si>
  <si>
    <t>Z18</t>
  </si>
  <si>
    <t>replace dependency with official alternative</t>
  </si>
  <si>
    <t>Z20</t>
  </si>
  <si>
    <t>fix dependency-related instability</t>
  </si>
  <si>
    <t>Z21</t>
  </si>
  <si>
    <t>replace deprecated dependency</t>
  </si>
  <si>
    <t>Z22</t>
  </si>
  <si>
    <t>upstream dependency update</t>
  </si>
  <si>
    <t>Z23</t>
  </si>
  <si>
    <t>fix general bugs</t>
  </si>
  <si>
    <t>Z24</t>
  </si>
  <si>
    <t>support new functionality</t>
  </si>
  <si>
    <t>Z26</t>
  </si>
  <si>
    <t>fix API-key bugs</t>
  </si>
  <si>
    <t>Z27</t>
  </si>
  <si>
    <t>replace dependency due to licensing concerns</t>
  </si>
  <si>
    <t>Z28</t>
  </si>
  <si>
    <t>replace dependency with open alternative</t>
  </si>
  <si>
    <t>Z29</t>
  </si>
  <si>
    <t>Z32</t>
  </si>
  <si>
    <t>fix release-version inconsistency</t>
  </si>
  <si>
    <t>Z33</t>
  </si>
  <si>
    <t>resolve dependency-related runtime issue</t>
  </si>
  <si>
    <t>Z34</t>
  </si>
  <si>
    <t>stabilize dependency versions</t>
  </si>
  <si>
    <t>Z35</t>
  </si>
  <si>
    <t>change dependency management approach</t>
  </si>
  <si>
    <t>Z36</t>
  </si>
  <si>
    <t>align project configuration with tooling</t>
  </si>
  <si>
    <t>Z37</t>
  </si>
  <si>
    <t>improve performance and production readiness</t>
  </si>
  <si>
    <t>Z38</t>
  </si>
  <si>
    <t>security concern</t>
  </si>
  <si>
    <t>Z39</t>
  </si>
  <si>
    <t>change server/runtime dependency for deployment</t>
  </si>
  <si>
    <t>Z41</t>
  </si>
  <si>
    <t>replace dependency to match packaging/tooling requirements</t>
  </si>
  <si>
    <t>Z42</t>
  </si>
  <si>
    <t>replace dependency to support task requirements</t>
  </si>
  <si>
    <t>Z43</t>
  </si>
  <si>
    <t>upgrade dependencies for future compatibility</t>
  </si>
  <si>
    <t>Z45</t>
  </si>
  <si>
    <t>standardize development workflow</t>
  </si>
  <si>
    <t>Z46</t>
  </si>
  <si>
    <t>strengthen automated quality checks</t>
  </si>
  <si>
    <t>ID</t>
  </si>
  <si>
    <t>KID</t>
  </si>
  <si>
    <t>CID</t>
  </si>
  <si>
    <t>K1</t>
  </si>
  <si>
    <t>K2</t>
  </si>
  <si>
    <t>K3</t>
  </si>
  <si>
    <t>K4</t>
  </si>
  <si>
    <t>K5</t>
  </si>
  <si>
    <t>K6</t>
  </si>
  <si>
    <t>remove peft to reduce core dependencies (reduce size)</t>
  </si>
  <si>
    <t>K7</t>
  </si>
  <si>
    <t>K8</t>
  </si>
  <si>
    <t>remove peft as some dependencies are not explicitly used</t>
  </si>
  <si>
    <t>K9</t>
  </si>
  <si>
    <t>K10</t>
  </si>
  <si>
    <t>migrate from auto-gptq to gptqmodel because auto-gptq is deprecated</t>
  </si>
  <si>
    <t>K11</t>
  </si>
  <si>
    <t>migrate from auto-gptq to gptqmodel because auto-gptq caused Python 3.12 support problems</t>
  </si>
  <si>
    <t>K12</t>
  </si>
  <si>
    <t>K13</t>
  </si>
  <si>
    <t>K14</t>
  </si>
  <si>
    <t>add prompt-toolkit to enable command history in the terminal</t>
  </si>
  <si>
    <t>K15</t>
  </si>
  <si>
    <t>add prompt-toolkit because it has easy setup and robust and cross-platform toolset</t>
  </si>
  <si>
    <t>K16</t>
  </si>
  <si>
    <t>K17</t>
  </si>
  <si>
    <t>K18</t>
  </si>
  <si>
    <t>migrate from torchtyping to jaxtyping because jaxtyping is better maintained</t>
  </si>
  <si>
    <t>K19</t>
  </si>
  <si>
    <t>migrate from torchtyping to jaxtyping because jaxtyping is more compatible with type checkers</t>
  </si>
  <si>
    <t>K20</t>
  </si>
  <si>
    <t>K21</t>
  </si>
  <si>
    <t>K22</t>
  </si>
  <si>
    <t>update datasets to fix package requirement incompatibility with moonshot-data</t>
  </si>
  <si>
    <t>K23</t>
  </si>
  <si>
    <t>update datasets to fix package incompatibility</t>
  </si>
  <si>
    <t>K24</t>
  </si>
  <si>
    <t>update python-dotenv to upgrade Python version and dependencies across the project</t>
  </si>
  <si>
    <t>K25</t>
  </si>
  <si>
    <t>add s3fs to add dataset loading from S3 and GCS</t>
  </si>
  <si>
    <t>K26</t>
  </si>
  <si>
    <t>update trl to improve compatibility</t>
  </si>
  <si>
    <t>K27</t>
  </si>
  <si>
    <t>K28</t>
  </si>
  <si>
    <t>K29</t>
  </si>
  <si>
    <t>migrate from pynvml to nvidia-ml-py to use the official NVIDIA package instead of the fork</t>
  </si>
  <si>
    <t>K30</t>
  </si>
  <si>
    <t>migrate from pynvml to nvidia-ml-py because nvidia-ml-py is the official package and pynvml is a fork</t>
  </si>
  <si>
    <t>K31</t>
  </si>
  <si>
    <t>migrate from pynvml to nvidia-ml-py because gpustat installs nvidia-ml-py and overwrites the BentoML dependency</t>
  </si>
  <si>
    <t>K32</t>
  </si>
  <si>
    <t>K33</t>
  </si>
  <si>
    <t>update torch to avoid downgrading dev versions of PyTorch (incompatbility)</t>
  </si>
  <si>
    <t>K34</t>
  </si>
  <si>
    <t>update torch to use a version range that works better than ~=2.0</t>
  </si>
  <si>
    <t>K35</t>
  </si>
  <si>
    <t>add terminado because the current package setup is unstable and throws exceptions</t>
  </si>
  <si>
    <t>K36</t>
  </si>
  <si>
    <t>add terminado because the dependency versions in pyproject.toml are not fully compatible with the code</t>
  </si>
  <si>
    <t>K37</t>
  </si>
  <si>
    <t>migrate from pynvml to nvidia-ml-py because pynvml seems deprecated in favor of nvidia-ml-py and nvidia-ml-py is still actively updated</t>
  </si>
  <si>
    <t>K38</t>
  </si>
  <si>
    <t>migrate from pynvml to nvidia-ml-py because pynvml may stop working with updated NVIDIA drivers</t>
  </si>
  <si>
    <t>K39</t>
  </si>
  <si>
    <t>migrate from fjformer to eformer to fix hackable arrays or implicit issues</t>
  </si>
  <si>
    <t>K40</t>
  </si>
  <si>
    <t>add tensorboard to add a project for continual pre-training of LLaMA-2</t>
  </si>
  <si>
    <t>K41</t>
  </si>
  <si>
    <t>add pytest to add document retrieval QA</t>
  </si>
  <si>
    <t>K42</t>
  </si>
  <si>
    <t>remove deps because requirements.txt could not install successfully</t>
  </si>
  <si>
    <t>K43</t>
  </si>
  <si>
    <t>update dashscope to support qwen-plus in the docker self-hosted server</t>
  </si>
  <si>
    <t>K44</t>
  </si>
  <si>
    <t>update dashscope to address the invalid API-key error when accessing qwen-plus</t>
  </si>
  <si>
    <t>K45</t>
  </si>
  <si>
    <t>migrate from redis to valkey because Redis's licensing changes move it away from a true open-source model</t>
  </si>
  <si>
    <t>K46</t>
  </si>
  <si>
    <t>migrate from redis to valkey because Valkey is the official Redis fork</t>
  </si>
  <si>
    <t>K47</t>
  </si>
  <si>
    <t>update mcp to fix the --base_url/--base-url mismatch error when starting the ragflow server with the mcp server</t>
  </si>
  <si>
    <t>K48</t>
  </si>
  <si>
    <t>update mcp because docker/entrypoint.sh and mcp/server/server.py are mismatched</t>
  </si>
  <si>
    <t>K49</t>
  </si>
  <si>
    <t>update mcp to address breaking changes from base_url/api_key being changed to base-url/api-key</t>
  </si>
  <si>
    <t>K50</t>
  </si>
  <si>
    <t>update mcp to resolve inconsistencies between the latest codebase and the released version</t>
  </si>
  <si>
    <t>K51</t>
  </si>
  <si>
    <t>update akshare to resolve the Mac M1 arm64-related issue</t>
  </si>
  <si>
    <t>K52</t>
  </si>
  <si>
    <t>migrate from sphinx-rtd-theme to furo to use a cleaner Sphinx theme</t>
  </si>
  <si>
    <t>K53</t>
  </si>
  <si>
    <t>remove deps because deprecated modules were removed</t>
  </si>
  <si>
    <t>K54</t>
  </si>
  <si>
    <t>K55</t>
  </si>
  <si>
    <t>remove deps because deprecated modules, neural_solution, neural_insights, and neural_coder were removed removed</t>
  </si>
  <si>
    <t>K56</t>
  </si>
  <si>
    <t>add cachetools to freeze requirements compatible for python 3.1.0</t>
  </si>
  <si>
    <t>K57</t>
  </si>
  <si>
    <t>add cachetools to freeze requirements compatibie for python 3.1.0</t>
  </si>
  <si>
    <t>K58</t>
  </si>
  <si>
    <t>remove mkdocstrings-python to replace Poetry with uv for dependency management and workflows</t>
  </si>
  <si>
    <t>K59</t>
  </si>
  <si>
    <t>remove mkdocstrings-python to align pyproject.toml with the new dependency management tool</t>
  </si>
  <si>
    <t>K60</t>
  </si>
  <si>
    <t>K61</t>
  </si>
  <si>
    <t>add gunicorn to replace Flask's built-in server for better performance, scalability, and production readiness</t>
  </si>
  <si>
    <t>K62</t>
  </si>
  <si>
    <t>migrate from pycryptodome to cryptography to fix a code scanning alert about an unapproved crypto library</t>
  </si>
  <si>
    <t>K63</t>
  </si>
  <si>
    <t>add gunicorn to update Presidio containers to use Gunicorn instead of Flask</t>
  </si>
  <si>
    <t>K64</t>
  </si>
  <si>
    <t>migrate from pycryptodome to cryptography to resolve a code scanning alert</t>
  </si>
  <si>
    <t>K65</t>
  </si>
  <si>
    <t>update huggingface-hub to update devcontainer to compatible with Python 3.9</t>
  </si>
  <si>
    <t>K66</t>
  </si>
  <si>
    <t>update responses to update devcontainer dependencies so contributors can get started quickly without incompatbility issues</t>
  </si>
  <si>
    <t>K67</t>
  </si>
  <si>
    <t>update deps to update devcontainer to use Python 3.9</t>
  </si>
  <si>
    <t>K68</t>
  </si>
  <si>
    <t>migrate from docopt to docopt-ng because docopt-ng uses pyproject.toml for installation while docopt does not</t>
  </si>
  <si>
    <t>K69</t>
  </si>
  <si>
    <t>migrate from tensorflow to torch for DCA and LLM-related tasks</t>
  </si>
  <si>
    <t>K70</t>
  </si>
  <si>
    <t>update mistralai to fix a backwards-incompatible Mistral API change</t>
  </si>
  <si>
    <t>K71</t>
  </si>
  <si>
    <t>update mistralai to make Pixeltable compatible with backward-incompatible API changes in the latest Mistral SDK</t>
  </si>
  <si>
    <t>K72</t>
  </si>
  <si>
    <t>update openai to help fully test in Python 3.13</t>
  </si>
  <si>
    <t>K73</t>
  </si>
  <si>
    <t>update openai to support the latest versions of integrations</t>
  </si>
  <si>
    <t>K74</t>
  </si>
  <si>
    <t>update sse-starlette to fix weird streaming behavior in the http-forwarder</t>
  </si>
  <si>
    <t>K75</t>
  </si>
  <si>
    <t>remove pytrec-eval because requirements.txt is no longer used (project requirements/policy)</t>
  </si>
  <si>
    <t>K76</t>
  </si>
  <si>
    <t>update versions of deps to freeze requirements.txt under Python 3.12.5</t>
  </si>
  <si>
    <t>K77</t>
  </si>
  <si>
    <t>update blis to use Python 3.12 compatible pinned versions</t>
  </si>
  <si>
    <t>K78</t>
  </si>
  <si>
    <t>migrate from pinecone-client to pinecone after sudden deprecation of pinecone-client</t>
  </si>
  <si>
    <t>K79</t>
  </si>
  <si>
    <t>K80</t>
  </si>
  <si>
    <t>migrate from sklearn to scikit-learn because sklearn is deprecated</t>
  </si>
  <si>
    <t>K81</t>
  </si>
  <si>
    <t>K82</t>
  </si>
  <si>
    <t>K83</t>
  </si>
  <si>
    <t>K84</t>
  </si>
  <si>
    <t>update onnxruntime to use a new Onnx Runtime version for newer Python versions only</t>
  </si>
  <si>
    <t>K85</t>
  </si>
  <si>
    <t>update onnxruntime to use Onnx Runtime 1.20 for Python version &gt;= 3.10</t>
  </si>
  <si>
    <t>K86</t>
  </si>
  <si>
    <t>add pre-commit to migrate from yapf and pylint to ruff-based pre-commit</t>
  </si>
  <si>
    <t>K87</t>
  </si>
  <si>
    <t>add pre-commit to enable unified version control and automatic hooks on commit</t>
  </si>
  <si>
    <t>K88</t>
  </si>
  <si>
    <t>add pre-commit to incrementally enforce ruff fixes through CI and commits</t>
  </si>
  <si>
    <t>K89</t>
  </si>
  <si>
    <t>migrate from aioprometheus to prometheus-client because prometheus-client is the official Prometheus Python client</t>
  </si>
  <si>
    <t>K90</t>
  </si>
  <si>
    <t>migrate from aioprometheus to prometheus-client because prometheus-client is more actively maintained than aioprometheus</t>
  </si>
  <si>
    <t>K91</t>
  </si>
  <si>
    <t>update openai to ensure compatibility</t>
  </si>
  <si>
    <t>K92</t>
  </si>
  <si>
    <t>update openai to incorporate recent bug fixes</t>
  </si>
  <si>
    <t>K93</t>
  </si>
  <si>
    <t>update openai to leverage performance improvements</t>
  </si>
  <si>
    <t>Final theme</t>
  </si>
  <si>
    <t>Meaning</t>
  </si>
  <si>
    <t>Functionality and feature needs</t>
  </si>
  <si>
    <t>dependency change to enable/support a capability, feature, task, or integration target</t>
  </si>
  <si>
    <t>Compatibility and integration issues</t>
  </si>
  <si>
    <t>dependency change due to incompatibility with runtime, tooling, other deps, APIs, versions, environment</t>
  </si>
  <si>
    <t>Maintainability and simplification</t>
  </si>
  <si>
    <t>dependency change to simplify setup, reduce redundancy, improve maintainability/workflow/config</t>
  </si>
  <si>
    <t>Performance and footprint pressure</t>
  </si>
  <si>
    <t>dependency change to improve speed, reduce heaviness, reduce dependency burden</t>
  </si>
  <si>
    <t>Upstream quality, maturity, and evolution</t>
  </si>
  <si>
    <t>dependency change because the old/new dep is deprecated, outdated, unstable, official, more maintained, more active</t>
  </si>
  <si>
    <t>Security and policy constraints</t>
  </si>
  <si>
    <t>dependency change due to security, license, organization/policy constraints</t>
  </si>
  <si>
    <t>Dependency Theme ID</t>
  </si>
  <si>
    <t>Dependency Theme</t>
  </si>
  <si>
    <t>DT1</t>
  </si>
  <si>
    <t>DT2</t>
  </si>
  <si>
    <t>DT5</t>
  </si>
  <si>
    <t>DT4</t>
  </si>
  <si>
    <t>DT3</t>
  </si>
  <si>
    <t>DT6</t>
  </si>
  <si>
    <t>theme id</t>
  </si>
  <si>
    <t>Frequency</t>
  </si>
  <si>
    <t># Dep changes</t>
  </si>
  <si>
    <t># Additions</t>
  </si>
  <si>
    <t># Removals</t>
  </si>
  <si>
    <t># Migrations</t>
  </si>
  <si>
    <t># Updates</t>
  </si>
  <si>
    <t>1. upgrade dependencies for future compatibility 
2. improve version compatibility</t>
  </si>
  <si>
    <t>fix interface or component mismatch</t>
  </si>
  <si>
    <t>resolve/improve environment compatibility or incompatibility issue</t>
  </si>
  <si>
    <t>fix missing or broken installation</t>
  </si>
  <si>
    <t>remove unnecessary/redundant dependency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</si>
</sst>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Calibri"/>
      <family val="2"/>
    </font>
    <font>
      <u/>
      <sz val="11"/>
      <color theme="10"/>
      <name val="Calibri"/>
      <family val="2"/>
      <scheme val="minor"/>
    </font>
    <font>
      <sz val="8"/>
      <name val="Calibri"/>
      <family val="2"/>
      <scheme val="minor"/>
    </font>
    <font>
      <b/>
      <sz val="11"/>
      <name val="Calibri"/>
      <family val="2"/>
    </font>
    <font>
      <sz val="12"/>
      <color theme="1"/>
      <name val="Calibri"/>
      <family val="2"/>
    </font>
    <font>
      <sz val="12"/>
      <color theme="1"/>
      <name val="Calibri"/>
      <family val="2"/>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9">
    <xf numFmtId="0" fontId="0" fillId="0" borderId="0" xfId="0"/>
    <xf numFmtId="0" fontId="2" fillId="0" borderId="0" xfId="1"/>
    <xf numFmtId="0" fontId="1" fillId="0" borderId="1" xfId="0" applyFont="1" applyBorder="1" applyAlignment="1">
      <alignment horizontal="center" vertical="top"/>
    </xf>
    <xf numFmtId="0" fontId="0" fillId="0" borderId="0" xfId="0" applyAlignment="1">
      <alignment wrapText="1"/>
    </xf>
    <xf numFmtId="0" fontId="4" fillId="0" borderId="2" xfId="0" applyFont="1" applyBorder="1" applyAlignment="1">
      <alignment horizontal="center" vertical="top"/>
    </xf>
    <xf numFmtId="0" fontId="1" fillId="0" borderId="0" xfId="0" applyFont="1" applyAlignment="1">
      <alignment horizontal="center" vertical="top"/>
    </xf>
    <xf numFmtId="0" fontId="5" fillId="0" borderId="0" xfId="0" applyFont="1"/>
    <xf numFmtId="0" fontId="6" fillId="0" borderId="0" xfId="0" applyFont="1"/>
    <xf numFmtId="0" fontId="7"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github.com/PrunaAI/pruna/pull/227" TargetMode="External"/><Relationship Id="rId1" Type="http://schemas.openxmlformats.org/officeDocument/2006/relationships/hyperlink" Target="https://github.com/PrunaAI/pruna/pull/4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76"/>
  <sheetViews>
    <sheetView tabSelected="1" zoomScale="110" zoomScaleNormal="110" workbookViewId="0">
      <selection activeCell="J6" sqref="J6"/>
    </sheetView>
  </sheetViews>
  <sheetFormatPr baseColWidth="10" defaultColWidth="8.83203125" defaultRowHeight="15" x14ac:dyDescent="0.2"/>
  <cols>
    <col min="11" max="11" width="49.83203125" customWidth="1"/>
    <col min="12" max="12" width="76.33203125" customWidth="1"/>
  </cols>
  <sheetData>
    <row r="1" spans="1:12" x14ac:dyDescent="0.2">
      <c r="A1" s="4" t="s">
        <v>5</v>
      </c>
      <c r="B1" s="4" t="s">
        <v>157</v>
      </c>
      <c r="C1" s="4" t="s">
        <v>0</v>
      </c>
      <c r="D1" s="4" t="s">
        <v>1</v>
      </c>
      <c r="E1" s="4" t="s">
        <v>158</v>
      </c>
      <c r="F1" s="4" t="s">
        <v>2</v>
      </c>
      <c r="G1" s="4" t="s">
        <v>3</v>
      </c>
      <c r="H1" s="4" t="s">
        <v>4</v>
      </c>
      <c r="I1" s="4" t="s">
        <v>101</v>
      </c>
      <c r="J1" s="4" t="s">
        <v>102</v>
      </c>
      <c r="K1" s="4" t="s">
        <v>103</v>
      </c>
      <c r="L1" s="2" t="s">
        <v>327</v>
      </c>
    </row>
    <row r="2" spans="1:12" x14ac:dyDescent="0.2">
      <c r="A2">
        <v>1</v>
      </c>
      <c r="B2">
        <v>1</v>
      </c>
      <c r="C2" t="s">
        <v>159</v>
      </c>
      <c r="D2" t="s">
        <v>160</v>
      </c>
      <c r="E2" t="s">
        <v>161</v>
      </c>
      <c r="F2" t="s">
        <v>162</v>
      </c>
      <c r="G2" t="s">
        <v>163</v>
      </c>
      <c r="H2" t="s">
        <v>162</v>
      </c>
      <c r="I2" t="s">
        <v>106</v>
      </c>
      <c r="J2" t="s">
        <v>82</v>
      </c>
      <c r="K2" t="s">
        <v>80</v>
      </c>
      <c r="L2" t="s">
        <v>394</v>
      </c>
    </row>
    <row r="3" spans="1:12" x14ac:dyDescent="0.2">
      <c r="A3">
        <v>2</v>
      </c>
      <c r="B3">
        <v>1</v>
      </c>
      <c r="C3" t="s">
        <v>159</v>
      </c>
      <c r="D3" t="s">
        <v>160</v>
      </c>
      <c r="E3" t="s">
        <v>161</v>
      </c>
      <c r="F3" t="s">
        <v>162</v>
      </c>
      <c r="G3" t="s">
        <v>163</v>
      </c>
      <c r="H3" t="s">
        <v>162</v>
      </c>
      <c r="I3" t="s">
        <v>104</v>
      </c>
      <c r="J3" t="s">
        <v>81</v>
      </c>
      <c r="K3" t="s">
        <v>141</v>
      </c>
      <c r="L3" t="s">
        <v>394</v>
      </c>
    </row>
    <row r="4" spans="1:12" x14ac:dyDescent="0.2">
      <c r="A4">
        <v>3</v>
      </c>
      <c r="B4">
        <v>1</v>
      </c>
      <c r="C4" t="s">
        <v>164</v>
      </c>
      <c r="D4" t="s">
        <v>165</v>
      </c>
      <c r="E4" t="s">
        <v>166</v>
      </c>
      <c r="F4" t="s">
        <v>167</v>
      </c>
      <c r="G4" t="s">
        <v>162</v>
      </c>
      <c r="H4" t="s">
        <v>162</v>
      </c>
      <c r="I4" t="s">
        <v>106</v>
      </c>
      <c r="J4" t="s">
        <v>7</v>
      </c>
      <c r="K4" t="s">
        <v>8</v>
      </c>
      <c r="L4" t="s">
        <v>395</v>
      </c>
    </row>
    <row r="5" spans="1:12" x14ac:dyDescent="0.2">
      <c r="A5">
        <v>4</v>
      </c>
      <c r="B5">
        <v>1</v>
      </c>
      <c r="C5" t="s">
        <v>168</v>
      </c>
      <c r="D5" t="s">
        <v>165</v>
      </c>
      <c r="E5" t="s">
        <v>169</v>
      </c>
      <c r="F5" t="s">
        <v>170</v>
      </c>
      <c r="G5" t="s">
        <v>162</v>
      </c>
      <c r="H5" t="s">
        <v>162</v>
      </c>
      <c r="I5" t="s">
        <v>104</v>
      </c>
      <c r="J5" t="s">
        <v>11</v>
      </c>
      <c r="K5" t="s">
        <v>110</v>
      </c>
      <c r="L5" t="s">
        <v>396</v>
      </c>
    </row>
    <row r="6" spans="1:12" x14ac:dyDescent="0.2">
      <c r="A6">
        <v>5</v>
      </c>
      <c r="B6">
        <v>1</v>
      </c>
      <c r="C6" t="s">
        <v>171</v>
      </c>
      <c r="D6" t="s">
        <v>172</v>
      </c>
      <c r="E6" t="s">
        <v>173</v>
      </c>
      <c r="F6" t="s">
        <v>162</v>
      </c>
      <c r="G6" t="s">
        <v>162</v>
      </c>
      <c r="H6" t="s">
        <v>162</v>
      </c>
      <c r="I6" t="s">
        <v>106</v>
      </c>
      <c r="J6" t="s">
        <v>122</v>
      </c>
      <c r="K6" t="s">
        <v>34</v>
      </c>
      <c r="L6" t="s">
        <v>397</v>
      </c>
    </row>
    <row r="7" spans="1:12" x14ac:dyDescent="0.2">
      <c r="A7">
        <v>6</v>
      </c>
      <c r="B7">
        <v>1</v>
      </c>
      <c r="C7" t="s">
        <v>174</v>
      </c>
      <c r="D7" t="s">
        <v>172</v>
      </c>
      <c r="E7" t="s">
        <v>175</v>
      </c>
      <c r="F7" t="s">
        <v>162</v>
      </c>
      <c r="G7" t="s">
        <v>162</v>
      </c>
      <c r="H7" t="s">
        <v>162</v>
      </c>
      <c r="I7" t="s">
        <v>106</v>
      </c>
      <c r="J7" t="s">
        <v>49</v>
      </c>
      <c r="K7" t="s">
        <v>127</v>
      </c>
      <c r="L7" t="s">
        <v>398</v>
      </c>
    </row>
    <row r="8" spans="1:12" x14ac:dyDescent="0.2">
      <c r="A8">
        <v>7</v>
      </c>
      <c r="B8">
        <v>1</v>
      </c>
      <c r="C8" t="s">
        <v>176</v>
      </c>
      <c r="D8" t="s">
        <v>160</v>
      </c>
      <c r="E8" t="s">
        <v>177</v>
      </c>
      <c r="F8" t="s">
        <v>178</v>
      </c>
      <c r="G8" t="s">
        <v>179</v>
      </c>
      <c r="H8" t="s">
        <v>162</v>
      </c>
      <c r="I8" t="s">
        <v>108</v>
      </c>
      <c r="J8" t="s">
        <v>79</v>
      </c>
      <c r="K8" t="s">
        <v>140</v>
      </c>
      <c r="L8" t="s">
        <v>399</v>
      </c>
    </row>
    <row r="9" spans="1:12" x14ac:dyDescent="0.2">
      <c r="A9">
        <v>8</v>
      </c>
      <c r="B9">
        <v>1</v>
      </c>
      <c r="C9" t="s">
        <v>174</v>
      </c>
      <c r="D9" t="s">
        <v>172</v>
      </c>
      <c r="E9" t="s">
        <v>175</v>
      </c>
      <c r="F9" t="s">
        <v>162</v>
      </c>
      <c r="G9" t="s">
        <v>162</v>
      </c>
      <c r="H9" t="s">
        <v>162</v>
      </c>
      <c r="I9" t="s">
        <v>108</v>
      </c>
      <c r="J9" t="s">
        <v>52</v>
      </c>
      <c r="K9" t="s">
        <v>129</v>
      </c>
      <c r="L9" t="s">
        <v>400</v>
      </c>
    </row>
    <row r="10" spans="1:12" x14ac:dyDescent="0.2">
      <c r="A10">
        <v>9</v>
      </c>
      <c r="B10">
        <v>1</v>
      </c>
      <c r="C10" t="s">
        <v>174</v>
      </c>
      <c r="D10" t="s">
        <v>172</v>
      </c>
      <c r="E10" t="s">
        <v>175</v>
      </c>
      <c r="F10" t="s">
        <v>162</v>
      </c>
      <c r="G10" t="s">
        <v>162</v>
      </c>
      <c r="H10" t="s">
        <v>162</v>
      </c>
      <c r="I10" t="s">
        <v>104</v>
      </c>
      <c r="J10" s="1" t="s">
        <v>51</v>
      </c>
      <c r="K10" t="s">
        <v>128</v>
      </c>
      <c r="L10" t="s">
        <v>401</v>
      </c>
    </row>
    <row r="11" spans="1:12" ht="27" customHeight="1" x14ac:dyDescent="0.2">
      <c r="A11">
        <v>10</v>
      </c>
      <c r="B11">
        <v>1</v>
      </c>
      <c r="C11" t="s">
        <v>176</v>
      </c>
      <c r="D11" t="s">
        <v>160</v>
      </c>
      <c r="E11" t="s">
        <v>177</v>
      </c>
      <c r="F11" t="s">
        <v>178</v>
      </c>
      <c r="G11" t="s">
        <v>179</v>
      </c>
      <c r="H11" t="s">
        <v>162</v>
      </c>
      <c r="I11" t="s">
        <v>104</v>
      </c>
      <c r="J11" s="1" t="s">
        <v>78</v>
      </c>
      <c r="K11" t="s">
        <v>139</v>
      </c>
      <c r="L11" s="3" t="s">
        <v>334</v>
      </c>
    </row>
    <row r="12" spans="1:12" x14ac:dyDescent="0.2">
      <c r="A12">
        <v>11</v>
      </c>
      <c r="B12">
        <v>1</v>
      </c>
      <c r="C12" t="s">
        <v>174</v>
      </c>
      <c r="D12" t="s">
        <v>172</v>
      </c>
      <c r="E12" t="s">
        <v>175</v>
      </c>
      <c r="F12" t="s">
        <v>162</v>
      </c>
      <c r="G12" t="s">
        <v>162</v>
      </c>
      <c r="H12" t="s">
        <v>162</v>
      </c>
      <c r="I12" t="s">
        <v>111</v>
      </c>
      <c r="J12" t="s">
        <v>50</v>
      </c>
      <c r="K12" t="s">
        <v>130</v>
      </c>
      <c r="L12" t="s">
        <v>402</v>
      </c>
    </row>
    <row r="13" spans="1:12" x14ac:dyDescent="0.2">
      <c r="A13">
        <v>12</v>
      </c>
      <c r="B13">
        <v>1</v>
      </c>
      <c r="C13" t="s">
        <v>180</v>
      </c>
      <c r="D13" t="s">
        <v>165</v>
      </c>
      <c r="E13" t="s">
        <v>181</v>
      </c>
      <c r="F13" t="s">
        <v>162</v>
      </c>
      <c r="G13" t="s">
        <v>162</v>
      </c>
      <c r="H13" t="s">
        <v>162</v>
      </c>
      <c r="I13" t="s">
        <v>106</v>
      </c>
      <c r="J13" t="s">
        <v>99</v>
      </c>
      <c r="K13" t="s">
        <v>155</v>
      </c>
      <c r="L13" t="s">
        <v>403</v>
      </c>
    </row>
    <row r="14" spans="1:12" ht="33" customHeight="1" x14ac:dyDescent="0.2">
      <c r="A14">
        <v>13</v>
      </c>
      <c r="B14">
        <v>1</v>
      </c>
      <c r="C14" t="s">
        <v>180</v>
      </c>
      <c r="D14" t="s">
        <v>165</v>
      </c>
      <c r="E14" t="s">
        <v>181</v>
      </c>
      <c r="F14" t="s">
        <v>162</v>
      </c>
      <c r="G14" t="s">
        <v>162</v>
      </c>
      <c r="H14" t="s">
        <v>162</v>
      </c>
      <c r="I14" t="s">
        <v>104</v>
      </c>
      <c r="J14" t="s">
        <v>100</v>
      </c>
      <c r="K14" t="s">
        <v>156</v>
      </c>
      <c r="L14" s="3" t="s">
        <v>393</v>
      </c>
    </row>
    <row r="15" spans="1:12" x14ac:dyDescent="0.2">
      <c r="A15">
        <v>14</v>
      </c>
      <c r="B15">
        <v>1</v>
      </c>
      <c r="C15" t="s">
        <v>182</v>
      </c>
      <c r="D15" t="s">
        <v>165</v>
      </c>
      <c r="E15" t="s">
        <v>183</v>
      </c>
      <c r="F15" t="s">
        <v>162</v>
      </c>
      <c r="G15" t="s">
        <v>162</v>
      </c>
      <c r="H15" t="s">
        <v>162</v>
      </c>
      <c r="I15" t="s">
        <v>104</v>
      </c>
      <c r="J15" t="s">
        <v>32</v>
      </c>
      <c r="K15" t="s">
        <v>120</v>
      </c>
      <c r="L15" t="s">
        <v>404</v>
      </c>
    </row>
    <row r="16" spans="1:12" x14ac:dyDescent="0.2">
      <c r="A16">
        <v>15</v>
      </c>
      <c r="B16">
        <v>1</v>
      </c>
      <c r="C16" t="s">
        <v>184</v>
      </c>
      <c r="D16" t="s">
        <v>185</v>
      </c>
      <c r="E16" t="s">
        <v>186</v>
      </c>
      <c r="F16" t="s">
        <v>187</v>
      </c>
      <c r="G16" t="s">
        <v>162</v>
      </c>
      <c r="H16" t="s">
        <v>188</v>
      </c>
      <c r="I16" t="s">
        <v>104</v>
      </c>
      <c r="J16" t="s">
        <v>9</v>
      </c>
      <c r="K16" t="s">
        <v>107</v>
      </c>
      <c r="L16" t="s">
        <v>405</v>
      </c>
    </row>
    <row r="17" spans="1:12" ht="23" customHeight="1" x14ac:dyDescent="0.2">
      <c r="A17">
        <v>16</v>
      </c>
      <c r="B17">
        <v>1</v>
      </c>
      <c r="C17" t="s">
        <v>189</v>
      </c>
      <c r="D17" t="s">
        <v>160</v>
      </c>
      <c r="E17" t="s">
        <v>190</v>
      </c>
      <c r="F17" t="s">
        <v>191</v>
      </c>
      <c r="G17" t="s">
        <v>192</v>
      </c>
      <c r="H17" t="s">
        <v>162</v>
      </c>
      <c r="I17" t="s">
        <v>104</v>
      </c>
      <c r="J17" t="s">
        <v>60</v>
      </c>
      <c r="K17" t="s">
        <v>134</v>
      </c>
      <c r="L17" s="3" t="s">
        <v>339</v>
      </c>
    </row>
    <row r="18" spans="1:12" x14ac:dyDescent="0.2">
      <c r="A18">
        <v>17</v>
      </c>
      <c r="B18">
        <v>1</v>
      </c>
      <c r="C18" t="s">
        <v>193</v>
      </c>
      <c r="D18" t="s">
        <v>160</v>
      </c>
      <c r="E18" t="s">
        <v>194</v>
      </c>
      <c r="F18" t="s">
        <v>195</v>
      </c>
      <c r="G18" t="s">
        <v>196</v>
      </c>
      <c r="H18" t="s">
        <v>162</v>
      </c>
      <c r="I18" t="s">
        <v>104</v>
      </c>
      <c r="J18" t="s">
        <v>54</v>
      </c>
      <c r="K18" t="s">
        <v>132</v>
      </c>
      <c r="L18" t="s">
        <v>406</v>
      </c>
    </row>
    <row r="19" spans="1:12" x14ac:dyDescent="0.2">
      <c r="A19">
        <v>18</v>
      </c>
      <c r="B19">
        <v>2</v>
      </c>
      <c r="C19" t="s">
        <v>197</v>
      </c>
      <c r="D19" t="s">
        <v>198</v>
      </c>
      <c r="E19" t="s">
        <v>199</v>
      </c>
      <c r="F19" t="s">
        <v>200</v>
      </c>
      <c r="G19" t="s">
        <v>201</v>
      </c>
      <c r="H19" t="s">
        <v>202</v>
      </c>
      <c r="I19" t="s">
        <v>106</v>
      </c>
      <c r="J19" t="s">
        <v>67</v>
      </c>
      <c r="K19" t="s">
        <v>68</v>
      </c>
      <c r="L19" t="s">
        <v>407</v>
      </c>
    </row>
    <row r="20" spans="1:12" ht="54" customHeight="1" x14ac:dyDescent="0.2">
      <c r="A20">
        <v>19</v>
      </c>
      <c r="B20">
        <v>1</v>
      </c>
      <c r="C20" t="s">
        <v>203</v>
      </c>
      <c r="D20" t="s">
        <v>185</v>
      </c>
      <c r="E20" t="s">
        <v>204</v>
      </c>
      <c r="F20" t="s">
        <v>162</v>
      </c>
      <c r="G20" t="s">
        <v>162</v>
      </c>
      <c r="H20" t="s">
        <v>162</v>
      </c>
      <c r="I20" t="s">
        <v>104</v>
      </c>
      <c r="J20" t="s">
        <v>48</v>
      </c>
      <c r="K20" t="s">
        <v>126</v>
      </c>
      <c r="L20" t="s">
        <v>408</v>
      </c>
    </row>
    <row r="21" spans="1:12" x14ac:dyDescent="0.2">
      <c r="A21">
        <v>20</v>
      </c>
      <c r="B21">
        <v>1</v>
      </c>
      <c r="C21" t="s">
        <v>203</v>
      </c>
      <c r="D21" t="s">
        <v>185</v>
      </c>
      <c r="E21" t="s">
        <v>204</v>
      </c>
      <c r="F21" t="s">
        <v>162</v>
      </c>
      <c r="G21" t="s">
        <v>162</v>
      </c>
      <c r="H21" t="s">
        <v>162</v>
      </c>
      <c r="I21" t="s">
        <v>111</v>
      </c>
      <c r="J21" t="s">
        <v>47</v>
      </c>
      <c r="K21" t="s">
        <v>125</v>
      </c>
      <c r="L21" t="s">
        <v>342</v>
      </c>
    </row>
    <row r="22" spans="1:12" x14ac:dyDescent="0.2">
      <c r="A22">
        <v>21</v>
      </c>
      <c r="B22">
        <v>1</v>
      </c>
      <c r="C22" t="s">
        <v>205</v>
      </c>
      <c r="D22" t="s">
        <v>185</v>
      </c>
      <c r="E22" t="s">
        <v>206</v>
      </c>
      <c r="F22" t="s">
        <v>162</v>
      </c>
      <c r="G22" t="s">
        <v>162</v>
      </c>
      <c r="H22" t="s">
        <v>162</v>
      </c>
      <c r="I22" t="s">
        <v>106</v>
      </c>
      <c r="J22" t="s">
        <v>38</v>
      </c>
      <c r="K22" t="s">
        <v>39</v>
      </c>
      <c r="L22" t="s">
        <v>343</v>
      </c>
    </row>
    <row r="23" spans="1:12" x14ac:dyDescent="0.2">
      <c r="A23">
        <v>22</v>
      </c>
      <c r="B23">
        <v>1</v>
      </c>
      <c r="C23" t="s">
        <v>207</v>
      </c>
      <c r="D23" t="s">
        <v>165</v>
      </c>
      <c r="E23" t="s">
        <v>208</v>
      </c>
      <c r="F23" t="s">
        <v>162</v>
      </c>
      <c r="G23" t="s">
        <v>162</v>
      </c>
      <c r="H23" t="s">
        <v>162</v>
      </c>
      <c r="I23" t="s">
        <v>106</v>
      </c>
      <c r="J23" t="s">
        <v>16</v>
      </c>
      <c r="K23" t="s">
        <v>18</v>
      </c>
      <c r="L23" t="s">
        <v>344</v>
      </c>
    </row>
    <row r="24" spans="1:12" x14ac:dyDescent="0.2">
      <c r="A24">
        <v>23</v>
      </c>
      <c r="B24">
        <v>1</v>
      </c>
      <c r="C24" t="s">
        <v>209</v>
      </c>
      <c r="D24" t="s">
        <v>185</v>
      </c>
      <c r="E24" t="s">
        <v>210</v>
      </c>
      <c r="F24" t="s">
        <v>162</v>
      </c>
      <c r="G24" t="s">
        <v>162</v>
      </c>
      <c r="H24" t="s">
        <v>162</v>
      </c>
      <c r="I24" t="s">
        <v>104</v>
      </c>
      <c r="J24" t="s">
        <v>63</v>
      </c>
      <c r="K24" t="s">
        <v>62</v>
      </c>
      <c r="L24" t="s">
        <v>345</v>
      </c>
    </row>
    <row r="25" spans="1:12" x14ac:dyDescent="0.2">
      <c r="A25">
        <v>24</v>
      </c>
      <c r="B25">
        <v>1</v>
      </c>
      <c r="C25" t="s">
        <v>207</v>
      </c>
      <c r="D25" t="s">
        <v>165</v>
      </c>
      <c r="E25" t="s">
        <v>208</v>
      </c>
      <c r="F25" t="s">
        <v>162</v>
      </c>
      <c r="G25" t="s">
        <v>162</v>
      </c>
      <c r="H25" t="s">
        <v>162</v>
      </c>
      <c r="I25" t="s">
        <v>104</v>
      </c>
      <c r="J25" t="s">
        <v>19</v>
      </c>
      <c r="K25" t="s">
        <v>18</v>
      </c>
      <c r="L25" t="s">
        <v>344</v>
      </c>
    </row>
    <row r="26" spans="1:12" x14ac:dyDescent="0.2">
      <c r="A26">
        <v>25</v>
      </c>
      <c r="B26">
        <v>1</v>
      </c>
      <c r="C26" t="s">
        <v>207</v>
      </c>
      <c r="D26" t="s">
        <v>165</v>
      </c>
      <c r="E26" t="s">
        <v>208</v>
      </c>
      <c r="F26" t="s">
        <v>162</v>
      </c>
      <c r="G26" t="s">
        <v>162</v>
      </c>
      <c r="H26" t="s">
        <v>162</v>
      </c>
      <c r="I26" t="s">
        <v>111</v>
      </c>
      <c r="J26" t="s">
        <v>17</v>
      </c>
      <c r="K26" t="s">
        <v>18</v>
      </c>
      <c r="L26" t="s">
        <v>344</v>
      </c>
    </row>
    <row r="27" spans="1:12" x14ac:dyDescent="0.2">
      <c r="A27">
        <v>26</v>
      </c>
      <c r="B27">
        <v>1</v>
      </c>
      <c r="C27" t="s">
        <v>211</v>
      </c>
      <c r="D27" t="s">
        <v>160</v>
      </c>
      <c r="E27" t="s">
        <v>212</v>
      </c>
      <c r="F27" t="s">
        <v>213</v>
      </c>
      <c r="G27" t="s">
        <v>214</v>
      </c>
      <c r="H27" t="s">
        <v>162</v>
      </c>
      <c r="I27" t="s">
        <v>106</v>
      </c>
      <c r="J27" t="s">
        <v>23</v>
      </c>
      <c r="K27" t="s">
        <v>25</v>
      </c>
      <c r="L27" t="s">
        <v>346</v>
      </c>
    </row>
    <row r="28" spans="1:12" ht="22" customHeight="1" x14ac:dyDescent="0.2">
      <c r="A28">
        <v>27</v>
      </c>
      <c r="B28">
        <v>1</v>
      </c>
      <c r="C28" t="s">
        <v>211</v>
      </c>
      <c r="D28" t="s">
        <v>160</v>
      </c>
      <c r="E28" t="s">
        <v>212</v>
      </c>
      <c r="F28" t="s">
        <v>213</v>
      </c>
      <c r="G28" t="s">
        <v>214</v>
      </c>
      <c r="H28" t="s">
        <v>162</v>
      </c>
      <c r="I28" t="s">
        <v>104</v>
      </c>
      <c r="J28" t="s">
        <v>26</v>
      </c>
      <c r="K28" s="3" t="s">
        <v>409</v>
      </c>
      <c r="L28" s="3" t="s">
        <v>347</v>
      </c>
    </row>
    <row r="29" spans="1:12" x14ac:dyDescent="0.2">
      <c r="A29">
        <v>28</v>
      </c>
      <c r="B29">
        <v>1</v>
      </c>
      <c r="C29" t="s">
        <v>211</v>
      </c>
      <c r="D29" t="s">
        <v>160</v>
      </c>
      <c r="E29" t="s">
        <v>212</v>
      </c>
      <c r="F29" t="s">
        <v>213</v>
      </c>
      <c r="G29" t="s">
        <v>214</v>
      </c>
      <c r="H29" t="s">
        <v>162</v>
      </c>
      <c r="I29" t="s">
        <v>111</v>
      </c>
      <c r="J29" t="s">
        <v>24</v>
      </c>
      <c r="K29" t="s">
        <v>25</v>
      </c>
      <c r="L29" t="s">
        <v>348</v>
      </c>
    </row>
    <row r="30" spans="1:12" ht="32" x14ac:dyDescent="0.2">
      <c r="A30">
        <v>29</v>
      </c>
      <c r="B30">
        <v>1</v>
      </c>
      <c r="C30" t="s">
        <v>215</v>
      </c>
      <c r="D30" t="s">
        <v>185</v>
      </c>
      <c r="E30" t="s">
        <v>216</v>
      </c>
      <c r="F30" t="s">
        <v>217</v>
      </c>
      <c r="G30" t="s">
        <v>162</v>
      </c>
      <c r="H30" t="s">
        <v>218</v>
      </c>
      <c r="I30" t="s">
        <v>108</v>
      </c>
      <c r="J30" t="s">
        <v>44</v>
      </c>
      <c r="K30" t="s">
        <v>124</v>
      </c>
      <c r="L30" s="3" t="s">
        <v>349</v>
      </c>
    </row>
    <row r="31" spans="1:12" ht="52" customHeight="1" x14ac:dyDescent="0.2">
      <c r="A31">
        <v>30</v>
      </c>
      <c r="B31">
        <v>1</v>
      </c>
      <c r="C31" t="s">
        <v>219</v>
      </c>
      <c r="D31" t="s">
        <v>165</v>
      </c>
      <c r="E31" t="s">
        <v>220</v>
      </c>
      <c r="F31" t="s">
        <v>221</v>
      </c>
      <c r="G31" t="s">
        <v>162</v>
      </c>
      <c r="H31" t="s">
        <v>162</v>
      </c>
      <c r="I31" t="s">
        <v>108</v>
      </c>
      <c r="J31" t="s">
        <v>22</v>
      </c>
      <c r="K31" s="3" t="s">
        <v>112</v>
      </c>
      <c r="L31" s="3" t="s">
        <v>350</v>
      </c>
    </row>
    <row r="32" spans="1:12" ht="64" x14ac:dyDescent="0.2">
      <c r="A32">
        <v>31</v>
      </c>
      <c r="B32">
        <v>1</v>
      </c>
      <c r="C32" t="s">
        <v>222</v>
      </c>
      <c r="D32" t="s">
        <v>160</v>
      </c>
      <c r="E32" t="s">
        <v>212</v>
      </c>
      <c r="F32" t="s">
        <v>162</v>
      </c>
      <c r="G32" t="s">
        <v>214</v>
      </c>
      <c r="H32" t="s">
        <v>162</v>
      </c>
      <c r="I32" t="s">
        <v>108</v>
      </c>
      <c r="J32" t="s">
        <v>31</v>
      </c>
      <c r="K32" t="s">
        <v>119</v>
      </c>
      <c r="L32" s="3" t="s">
        <v>351</v>
      </c>
    </row>
    <row r="33" spans="1:12" ht="16" x14ac:dyDescent="0.2">
      <c r="A33">
        <v>32</v>
      </c>
      <c r="B33">
        <v>1</v>
      </c>
      <c r="C33" t="s">
        <v>223</v>
      </c>
      <c r="D33" t="s">
        <v>160</v>
      </c>
      <c r="E33" t="s">
        <v>224</v>
      </c>
      <c r="F33" t="s">
        <v>225</v>
      </c>
      <c r="G33" t="s">
        <v>226</v>
      </c>
      <c r="H33" t="s">
        <v>162</v>
      </c>
      <c r="I33" t="s">
        <v>106</v>
      </c>
      <c r="J33" t="s">
        <v>20</v>
      </c>
      <c r="K33" t="s">
        <v>21</v>
      </c>
      <c r="L33" s="3" t="s">
        <v>352</v>
      </c>
    </row>
    <row r="34" spans="1:12" ht="16" x14ac:dyDescent="0.2">
      <c r="A34">
        <v>33</v>
      </c>
      <c r="B34">
        <v>1</v>
      </c>
      <c r="C34" t="s">
        <v>227</v>
      </c>
      <c r="D34" t="s">
        <v>165</v>
      </c>
      <c r="E34" t="s">
        <v>228</v>
      </c>
      <c r="F34" t="s">
        <v>162</v>
      </c>
      <c r="G34" t="s">
        <v>162</v>
      </c>
      <c r="H34" t="s">
        <v>162</v>
      </c>
      <c r="I34" t="s">
        <v>104</v>
      </c>
      <c r="J34" t="s">
        <v>30</v>
      </c>
      <c r="K34" t="s">
        <v>118</v>
      </c>
      <c r="L34" s="3" t="s">
        <v>353</v>
      </c>
    </row>
    <row r="35" spans="1:12" ht="16" x14ac:dyDescent="0.2">
      <c r="A35">
        <v>34</v>
      </c>
      <c r="B35">
        <v>1</v>
      </c>
      <c r="C35" t="s">
        <v>229</v>
      </c>
      <c r="D35" t="s">
        <v>165</v>
      </c>
      <c r="E35" t="s">
        <v>230</v>
      </c>
      <c r="F35" t="s">
        <v>162</v>
      </c>
      <c r="G35" t="s">
        <v>162</v>
      </c>
      <c r="H35" t="s">
        <v>162</v>
      </c>
      <c r="I35" t="s">
        <v>104</v>
      </c>
      <c r="J35" t="s">
        <v>84</v>
      </c>
      <c r="K35" t="s">
        <v>143</v>
      </c>
      <c r="L35" s="3" t="s">
        <v>354</v>
      </c>
    </row>
    <row r="36" spans="1:12" ht="16" x14ac:dyDescent="0.2">
      <c r="A36">
        <v>35</v>
      </c>
      <c r="B36">
        <v>2</v>
      </c>
      <c r="C36" t="s">
        <v>231</v>
      </c>
      <c r="D36" t="s">
        <v>232</v>
      </c>
      <c r="E36" t="s">
        <v>233</v>
      </c>
      <c r="F36" t="s">
        <v>201</v>
      </c>
      <c r="G36" t="s">
        <v>201</v>
      </c>
      <c r="H36" t="s">
        <v>201</v>
      </c>
      <c r="I36" t="s">
        <v>108</v>
      </c>
      <c r="J36" t="s">
        <v>53</v>
      </c>
      <c r="K36" t="s">
        <v>131</v>
      </c>
      <c r="L36" s="3" t="s">
        <v>355</v>
      </c>
    </row>
    <row r="37" spans="1:12" ht="33" customHeight="1" x14ac:dyDescent="0.2">
      <c r="A37">
        <v>36</v>
      </c>
      <c r="B37">
        <v>1</v>
      </c>
      <c r="C37" t="s">
        <v>234</v>
      </c>
      <c r="D37" t="s">
        <v>185</v>
      </c>
      <c r="E37" t="s">
        <v>235</v>
      </c>
      <c r="F37" t="s">
        <v>236</v>
      </c>
      <c r="G37" t="s">
        <v>162</v>
      </c>
      <c r="H37" t="s">
        <v>237</v>
      </c>
      <c r="I37" t="s">
        <v>108</v>
      </c>
      <c r="J37" t="s">
        <v>98</v>
      </c>
      <c r="K37" s="3" t="s">
        <v>154</v>
      </c>
      <c r="L37" s="3" t="s">
        <v>356</v>
      </c>
    </row>
    <row r="38" spans="1:12" ht="48" x14ac:dyDescent="0.2">
      <c r="A38">
        <v>37</v>
      </c>
      <c r="B38">
        <v>1</v>
      </c>
      <c r="C38" t="s">
        <v>238</v>
      </c>
      <c r="D38" t="s">
        <v>160</v>
      </c>
      <c r="E38" t="s">
        <v>239</v>
      </c>
      <c r="F38" t="s">
        <v>240</v>
      </c>
      <c r="G38" t="s">
        <v>241</v>
      </c>
      <c r="H38" t="s">
        <v>162</v>
      </c>
      <c r="I38" t="s">
        <v>108</v>
      </c>
      <c r="J38" t="s">
        <v>96</v>
      </c>
      <c r="K38" t="s">
        <v>150</v>
      </c>
      <c r="L38" s="3" t="s">
        <v>357</v>
      </c>
    </row>
    <row r="39" spans="1:12" ht="48" x14ac:dyDescent="0.2">
      <c r="A39">
        <v>38</v>
      </c>
      <c r="B39">
        <v>1</v>
      </c>
      <c r="C39" t="s">
        <v>242</v>
      </c>
      <c r="D39" t="s">
        <v>185</v>
      </c>
      <c r="E39" t="s">
        <v>243</v>
      </c>
      <c r="F39" t="s">
        <v>244</v>
      </c>
      <c r="G39" t="s">
        <v>162</v>
      </c>
      <c r="H39" t="s">
        <v>245</v>
      </c>
      <c r="I39" t="s">
        <v>108</v>
      </c>
      <c r="J39" t="s">
        <v>29</v>
      </c>
      <c r="K39" t="s">
        <v>115</v>
      </c>
      <c r="L39" s="3" t="s">
        <v>358</v>
      </c>
    </row>
    <row r="40" spans="1:12" ht="37" customHeight="1" x14ac:dyDescent="0.2">
      <c r="A40">
        <v>39</v>
      </c>
      <c r="B40">
        <v>1</v>
      </c>
      <c r="C40" t="s">
        <v>242</v>
      </c>
      <c r="D40" t="s">
        <v>185</v>
      </c>
      <c r="E40" t="s">
        <v>243</v>
      </c>
      <c r="F40" t="s">
        <v>244</v>
      </c>
      <c r="G40" t="s">
        <v>162</v>
      </c>
      <c r="H40" t="s">
        <v>245</v>
      </c>
      <c r="I40" t="s">
        <v>108</v>
      </c>
      <c r="J40" t="s">
        <v>116</v>
      </c>
      <c r="K40" t="s">
        <v>117</v>
      </c>
      <c r="L40" s="3" t="s">
        <v>359</v>
      </c>
    </row>
    <row r="41" spans="1:12" ht="16" x14ac:dyDescent="0.2">
      <c r="A41">
        <v>40</v>
      </c>
      <c r="B41">
        <v>1</v>
      </c>
      <c r="C41" t="s">
        <v>246</v>
      </c>
      <c r="D41" t="s">
        <v>185</v>
      </c>
      <c r="E41" t="s">
        <v>247</v>
      </c>
      <c r="F41" t="s">
        <v>248</v>
      </c>
      <c r="G41" t="s">
        <v>162</v>
      </c>
      <c r="H41" t="s">
        <v>249</v>
      </c>
      <c r="I41" t="s">
        <v>108</v>
      </c>
      <c r="J41" t="s">
        <v>10</v>
      </c>
      <c r="K41" t="s">
        <v>109</v>
      </c>
      <c r="L41" s="3" t="s">
        <v>360</v>
      </c>
    </row>
    <row r="42" spans="1:12" ht="16" x14ac:dyDescent="0.2">
      <c r="A42">
        <v>41</v>
      </c>
      <c r="B42">
        <v>1</v>
      </c>
      <c r="C42" t="s">
        <v>250</v>
      </c>
      <c r="D42" t="s">
        <v>160</v>
      </c>
      <c r="E42" t="s">
        <v>251</v>
      </c>
      <c r="F42" t="s">
        <v>252</v>
      </c>
      <c r="G42" t="s">
        <v>253</v>
      </c>
      <c r="H42" t="s">
        <v>162</v>
      </c>
      <c r="I42" t="s">
        <v>104</v>
      </c>
      <c r="J42" t="s">
        <v>89</v>
      </c>
      <c r="K42" t="s">
        <v>146</v>
      </c>
      <c r="L42" s="3" t="s">
        <v>361</v>
      </c>
    </row>
    <row r="43" spans="1:12" ht="16" x14ac:dyDescent="0.2">
      <c r="A43">
        <v>42</v>
      </c>
      <c r="B43">
        <v>2</v>
      </c>
      <c r="C43" t="s">
        <v>254</v>
      </c>
      <c r="D43" t="s">
        <v>232</v>
      </c>
      <c r="E43" t="s">
        <v>255</v>
      </c>
      <c r="F43" t="s">
        <v>256</v>
      </c>
      <c r="G43" t="s">
        <v>201</v>
      </c>
      <c r="H43" t="s">
        <v>201</v>
      </c>
      <c r="I43" t="s">
        <v>106</v>
      </c>
      <c r="J43" t="s">
        <v>40</v>
      </c>
      <c r="K43" t="s">
        <v>41</v>
      </c>
      <c r="L43" s="3" t="s">
        <v>362</v>
      </c>
    </row>
    <row r="44" spans="1:12" ht="32" x14ac:dyDescent="0.2">
      <c r="A44">
        <v>43</v>
      </c>
      <c r="B44">
        <v>1</v>
      </c>
      <c r="C44" t="s">
        <v>257</v>
      </c>
      <c r="D44" t="s">
        <v>160</v>
      </c>
      <c r="E44" t="s">
        <v>258</v>
      </c>
      <c r="F44" t="s">
        <v>162</v>
      </c>
      <c r="G44" t="s">
        <v>259</v>
      </c>
      <c r="H44" t="s">
        <v>162</v>
      </c>
      <c r="I44" t="s">
        <v>104</v>
      </c>
      <c r="J44" t="s">
        <v>6</v>
      </c>
      <c r="K44" t="s">
        <v>105</v>
      </c>
      <c r="L44" s="3" t="s">
        <v>364</v>
      </c>
    </row>
    <row r="45" spans="1:12" ht="32" x14ac:dyDescent="0.2">
      <c r="A45">
        <v>44</v>
      </c>
      <c r="B45">
        <v>2</v>
      </c>
      <c r="C45" t="s">
        <v>254</v>
      </c>
      <c r="D45" t="s">
        <v>232</v>
      </c>
      <c r="E45" t="s">
        <v>255</v>
      </c>
      <c r="F45" t="s">
        <v>256</v>
      </c>
      <c r="G45" t="s">
        <v>201</v>
      </c>
      <c r="H45" t="s">
        <v>201</v>
      </c>
      <c r="I45" t="s">
        <v>104</v>
      </c>
      <c r="J45" t="s">
        <v>43</v>
      </c>
      <c r="K45" t="s">
        <v>42</v>
      </c>
      <c r="L45" s="3" t="s">
        <v>365</v>
      </c>
    </row>
    <row r="46" spans="1:12" ht="16" x14ac:dyDescent="0.2">
      <c r="A46">
        <v>45</v>
      </c>
      <c r="B46">
        <v>1</v>
      </c>
      <c r="C46" t="s">
        <v>260</v>
      </c>
      <c r="D46" t="s">
        <v>165</v>
      </c>
      <c r="E46" t="s">
        <v>261</v>
      </c>
      <c r="F46" t="s">
        <v>162</v>
      </c>
      <c r="G46" t="s">
        <v>162</v>
      </c>
      <c r="H46" t="s">
        <v>162</v>
      </c>
      <c r="I46" t="s">
        <v>106</v>
      </c>
      <c r="J46" t="s">
        <v>74</v>
      </c>
      <c r="K46" t="s">
        <v>87</v>
      </c>
      <c r="L46" s="3" t="s">
        <v>367</v>
      </c>
    </row>
    <row r="47" spans="1:12" ht="16" x14ac:dyDescent="0.2">
      <c r="A47">
        <v>46</v>
      </c>
      <c r="B47">
        <v>1</v>
      </c>
      <c r="C47" t="s">
        <v>260</v>
      </c>
      <c r="D47" t="s">
        <v>165</v>
      </c>
      <c r="E47" t="s">
        <v>261</v>
      </c>
      <c r="F47" t="s">
        <v>162</v>
      </c>
      <c r="G47" t="s">
        <v>162</v>
      </c>
      <c r="H47" t="s">
        <v>162</v>
      </c>
      <c r="I47" t="s">
        <v>104</v>
      </c>
      <c r="J47" t="s">
        <v>88</v>
      </c>
      <c r="K47" t="s">
        <v>87</v>
      </c>
      <c r="L47" s="3" t="s">
        <v>366</v>
      </c>
    </row>
    <row r="48" spans="1:12" ht="64" x14ac:dyDescent="0.2">
      <c r="A48">
        <v>47</v>
      </c>
      <c r="B48">
        <v>1</v>
      </c>
      <c r="C48" t="s">
        <v>262</v>
      </c>
      <c r="D48" t="s">
        <v>172</v>
      </c>
      <c r="E48" t="s">
        <v>263</v>
      </c>
      <c r="F48" t="s">
        <v>264</v>
      </c>
      <c r="G48" t="s">
        <v>162</v>
      </c>
      <c r="H48" t="s">
        <v>162</v>
      </c>
      <c r="I48" t="s">
        <v>104</v>
      </c>
      <c r="J48" t="s">
        <v>28</v>
      </c>
      <c r="K48" t="s">
        <v>114</v>
      </c>
      <c r="L48" s="3" t="s">
        <v>368</v>
      </c>
    </row>
    <row r="49" spans="1:12" ht="32" x14ac:dyDescent="0.2">
      <c r="A49">
        <v>48</v>
      </c>
      <c r="B49">
        <v>1</v>
      </c>
      <c r="C49" t="s">
        <v>262</v>
      </c>
      <c r="D49" t="s">
        <v>172</v>
      </c>
      <c r="E49" t="s">
        <v>263</v>
      </c>
      <c r="F49" t="s">
        <v>264</v>
      </c>
      <c r="G49" t="s">
        <v>162</v>
      </c>
      <c r="H49" t="s">
        <v>162</v>
      </c>
      <c r="I49" t="s">
        <v>111</v>
      </c>
      <c r="J49" t="s">
        <v>27</v>
      </c>
      <c r="K49" t="s">
        <v>113</v>
      </c>
      <c r="L49" s="3" t="s">
        <v>369</v>
      </c>
    </row>
    <row r="50" spans="1:12" ht="32" x14ac:dyDescent="0.2">
      <c r="A50">
        <v>49</v>
      </c>
      <c r="B50">
        <v>1</v>
      </c>
      <c r="C50" t="s">
        <v>265</v>
      </c>
      <c r="D50" t="s">
        <v>165</v>
      </c>
      <c r="E50" t="s">
        <v>266</v>
      </c>
      <c r="F50" t="s">
        <v>178</v>
      </c>
      <c r="G50" t="s">
        <v>162</v>
      </c>
      <c r="H50" t="s">
        <v>162</v>
      </c>
      <c r="I50" t="s">
        <v>108</v>
      </c>
      <c r="J50" t="s">
        <v>86</v>
      </c>
      <c r="K50" t="s">
        <v>145</v>
      </c>
      <c r="L50" s="3" t="s">
        <v>448</v>
      </c>
    </row>
    <row r="51" spans="1:12" ht="32" x14ac:dyDescent="0.2">
      <c r="A51">
        <v>50</v>
      </c>
      <c r="B51">
        <v>1</v>
      </c>
      <c r="C51" t="s">
        <v>267</v>
      </c>
      <c r="D51" t="s">
        <v>160</v>
      </c>
      <c r="E51" t="s">
        <v>268</v>
      </c>
      <c r="F51" t="s">
        <v>269</v>
      </c>
      <c r="G51" t="s">
        <v>270</v>
      </c>
      <c r="H51" t="s">
        <v>162</v>
      </c>
      <c r="I51" t="s">
        <v>108</v>
      </c>
      <c r="J51" t="s">
        <v>37</v>
      </c>
      <c r="K51" t="s">
        <v>123</v>
      </c>
      <c r="L51" s="3" t="s">
        <v>370</v>
      </c>
    </row>
    <row r="52" spans="1:12" ht="16" x14ac:dyDescent="0.2">
      <c r="A52">
        <v>51</v>
      </c>
      <c r="B52">
        <v>1</v>
      </c>
      <c r="C52" t="s">
        <v>265</v>
      </c>
      <c r="D52" t="s">
        <v>165</v>
      </c>
      <c r="E52" t="s">
        <v>266</v>
      </c>
      <c r="F52" t="s">
        <v>178</v>
      </c>
      <c r="G52" t="s">
        <v>162</v>
      </c>
      <c r="H52" t="s">
        <v>162</v>
      </c>
      <c r="I52" t="s">
        <v>104</v>
      </c>
      <c r="J52" t="s">
        <v>85</v>
      </c>
      <c r="K52" t="s">
        <v>144</v>
      </c>
      <c r="L52" s="3" t="s">
        <v>371</v>
      </c>
    </row>
    <row r="53" spans="1:12" ht="16" x14ac:dyDescent="0.2">
      <c r="A53">
        <v>52</v>
      </c>
      <c r="B53">
        <v>1</v>
      </c>
      <c r="C53" t="s">
        <v>267</v>
      </c>
      <c r="D53" t="s">
        <v>160</v>
      </c>
      <c r="E53" t="s">
        <v>268</v>
      </c>
      <c r="F53" t="s">
        <v>269</v>
      </c>
      <c r="G53" t="s">
        <v>270</v>
      </c>
      <c r="H53" t="s">
        <v>162</v>
      </c>
      <c r="I53" t="s">
        <v>104</v>
      </c>
      <c r="J53" t="s">
        <v>36</v>
      </c>
      <c r="K53" t="s">
        <v>35</v>
      </c>
      <c r="L53" s="3" t="s">
        <v>372</v>
      </c>
    </row>
    <row r="54" spans="1:12" ht="16" x14ac:dyDescent="0.2">
      <c r="A54">
        <v>53</v>
      </c>
      <c r="B54">
        <v>1</v>
      </c>
      <c r="C54" t="s">
        <v>271</v>
      </c>
      <c r="D54" t="s">
        <v>185</v>
      </c>
      <c r="E54" t="s">
        <v>272</v>
      </c>
      <c r="F54" t="s">
        <v>162</v>
      </c>
      <c r="G54" t="s">
        <v>162</v>
      </c>
      <c r="H54" t="s">
        <v>162</v>
      </c>
      <c r="I54" t="s">
        <v>106</v>
      </c>
      <c r="J54" t="s">
        <v>75</v>
      </c>
      <c r="K54" t="s">
        <v>76</v>
      </c>
      <c r="L54" s="3" t="s">
        <v>373</v>
      </c>
    </row>
    <row r="55" spans="1:12" ht="32" x14ac:dyDescent="0.2">
      <c r="A55">
        <v>54</v>
      </c>
      <c r="B55">
        <v>1</v>
      </c>
      <c r="C55" t="s">
        <v>273</v>
      </c>
      <c r="D55" t="s">
        <v>185</v>
      </c>
      <c r="E55" t="s">
        <v>274</v>
      </c>
      <c r="F55" t="s">
        <v>162</v>
      </c>
      <c r="G55" t="s">
        <v>162</v>
      </c>
      <c r="H55" t="s">
        <v>162</v>
      </c>
      <c r="I55" t="s">
        <v>104</v>
      </c>
      <c r="J55" t="s">
        <v>97</v>
      </c>
      <c r="K55" t="s">
        <v>151</v>
      </c>
      <c r="L55" s="3" t="s">
        <v>374</v>
      </c>
    </row>
    <row r="56" spans="1:12" ht="16" x14ac:dyDescent="0.2">
      <c r="A56">
        <v>55</v>
      </c>
      <c r="B56">
        <v>3</v>
      </c>
      <c r="C56" t="s">
        <v>275</v>
      </c>
      <c r="D56" t="s">
        <v>276</v>
      </c>
      <c r="E56" t="s">
        <v>277</v>
      </c>
      <c r="F56" t="s">
        <v>278</v>
      </c>
      <c r="G56" t="s">
        <v>278</v>
      </c>
      <c r="H56" t="s">
        <v>278</v>
      </c>
      <c r="I56" t="s">
        <v>104</v>
      </c>
      <c r="J56" t="s">
        <v>77</v>
      </c>
      <c r="K56" t="s">
        <v>76</v>
      </c>
      <c r="L56" s="3" t="s">
        <v>375</v>
      </c>
    </row>
    <row r="57" spans="1:12" ht="32" x14ac:dyDescent="0.2">
      <c r="A57">
        <v>56</v>
      </c>
      <c r="B57">
        <v>1</v>
      </c>
      <c r="C57" t="s">
        <v>279</v>
      </c>
      <c r="D57" t="s">
        <v>160</v>
      </c>
      <c r="E57" t="s">
        <v>280</v>
      </c>
      <c r="F57" t="s">
        <v>162</v>
      </c>
      <c r="G57" t="s">
        <v>281</v>
      </c>
      <c r="H57" t="s">
        <v>162</v>
      </c>
      <c r="I57" t="s">
        <v>106</v>
      </c>
      <c r="J57" t="s">
        <v>66</v>
      </c>
      <c r="K57" t="s">
        <v>136</v>
      </c>
      <c r="L57" s="3" t="s">
        <v>376</v>
      </c>
    </row>
    <row r="58" spans="1:12" ht="16" x14ac:dyDescent="0.2">
      <c r="A58">
        <v>57</v>
      </c>
      <c r="B58">
        <v>1</v>
      </c>
      <c r="C58" t="s">
        <v>282</v>
      </c>
      <c r="D58" t="s">
        <v>160</v>
      </c>
      <c r="E58" t="s">
        <v>283</v>
      </c>
      <c r="F58" t="s">
        <v>162</v>
      </c>
      <c r="G58" t="s">
        <v>216</v>
      </c>
      <c r="H58" t="s">
        <v>162</v>
      </c>
      <c r="I58" t="s">
        <v>104</v>
      </c>
      <c r="J58" t="s">
        <v>46</v>
      </c>
      <c r="K58" t="s">
        <v>45</v>
      </c>
      <c r="L58" s="3" t="s">
        <v>377</v>
      </c>
    </row>
    <row r="59" spans="1:12" ht="16" x14ac:dyDescent="0.2">
      <c r="A59">
        <v>58</v>
      </c>
      <c r="B59">
        <v>1</v>
      </c>
      <c r="C59" t="s">
        <v>284</v>
      </c>
      <c r="D59" t="s">
        <v>185</v>
      </c>
      <c r="E59" t="s">
        <v>186</v>
      </c>
      <c r="F59" t="s">
        <v>285</v>
      </c>
      <c r="G59" t="s">
        <v>162</v>
      </c>
      <c r="H59" t="s">
        <v>286</v>
      </c>
      <c r="I59" t="s">
        <v>106</v>
      </c>
      <c r="J59" t="s">
        <v>56</v>
      </c>
      <c r="K59" t="s">
        <v>57</v>
      </c>
      <c r="L59" s="3" t="s">
        <v>378</v>
      </c>
    </row>
    <row r="60" spans="1:12" ht="32" x14ac:dyDescent="0.2">
      <c r="A60">
        <v>59</v>
      </c>
      <c r="B60">
        <v>1</v>
      </c>
      <c r="C60" t="s">
        <v>284</v>
      </c>
      <c r="D60" t="s">
        <v>185</v>
      </c>
      <c r="E60" t="s">
        <v>186</v>
      </c>
      <c r="F60" t="s">
        <v>285</v>
      </c>
      <c r="G60" t="s">
        <v>162</v>
      </c>
      <c r="H60" t="s">
        <v>286</v>
      </c>
      <c r="I60" t="s">
        <v>104</v>
      </c>
      <c r="J60" t="s">
        <v>59</v>
      </c>
      <c r="K60" t="s">
        <v>58</v>
      </c>
      <c r="L60" s="3" t="s">
        <v>379</v>
      </c>
    </row>
    <row r="61" spans="1:12" ht="32" x14ac:dyDescent="0.2">
      <c r="A61">
        <v>60</v>
      </c>
      <c r="B61">
        <v>1</v>
      </c>
      <c r="C61" t="s">
        <v>287</v>
      </c>
      <c r="D61" t="s">
        <v>185</v>
      </c>
      <c r="E61" t="s">
        <v>288</v>
      </c>
      <c r="F61" t="s">
        <v>289</v>
      </c>
      <c r="G61" t="s">
        <v>162</v>
      </c>
      <c r="H61" t="s">
        <v>290</v>
      </c>
      <c r="I61" t="s">
        <v>104</v>
      </c>
      <c r="J61" t="s">
        <v>61</v>
      </c>
      <c r="K61" t="s">
        <v>135</v>
      </c>
      <c r="L61" s="3" t="s">
        <v>380</v>
      </c>
    </row>
    <row r="62" spans="1:12" ht="16" x14ac:dyDescent="0.2">
      <c r="A62">
        <v>61</v>
      </c>
      <c r="B62">
        <v>1</v>
      </c>
      <c r="C62" t="s">
        <v>291</v>
      </c>
      <c r="D62" t="s">
        <v>185</v>
      </c>
      <c r="E62" t="s">
        <v>292</v>
      </c>
      <c r="F62" t="s">
        <v>293</v>
      </c>
      <c r="G62" t="s">
        <v>162</v>
      </c>
      <c r="H62" t="s">
        <v>294</v>
      </c>
      <c r="I62" t="s">
        <v>104</v>
      </c>
      <c r="J62" t="s">
        <v>55</v>
      </c>
      <c r="K62" t="s">
        <v>133</v>
      </c>
      <c r="L62" s="3" t="s">
        <v>381</v>
      </c>
    </row>
    <row r="63" spans="1:12" ht="16" x14ac:dyDescent="0.2">
      <c r="A63">
        <v>62</v>
      </c>
      <c r="B63">
        <v>1</v>
      </c>
      <c r="C63" t="s">
        <v>295</v>
      </c>
      <c r="D63" t="s">
        <v>172</v>
      </c>
      <c r="E63" t="s">
        <v>296</v>
      </c>
      <c r="F63" t="s">
        <v>297</v>
      </c>
      <c r="G63" t="s">
        <v>162</v>
      </c>
      <c r="H63" t="s">
        <v>162</v>
      </c>
      <c r="I63" t="s">
        <v>104</v>
      </c>
      <c r="J63" t="s">
        <v>69</v>
      </c>
      <c r="K63" t="s">
        <v>137</v>
      </c>
      <c r="L63" s="3" t="s">
        <v>382</v>
      </c>
    </row>
    <row r="64" spans="1:12" ht="16" x14ac:dyDescent="0.2">
      <c r="A64">
        <v>63</v>
      </c>
      <c r="B64">
        <v>4</v>
      </c>
      <c r="C64" t="s">
        <v>298</v>
      </c>
      <c r="D64" t="s">
        <v>299</v>
      </c>
      <c r="E64" t="s">
        <v>300</v>
      </c>
      <c r="F64" t="s">
        <v>301</v>
      </c>
      <c r="G64" t="s">
        <v>301</v>
      </c>
      <c r="H64" t="s">
        <v>301</v>
      </c>
      <c r="I64" t="s">
        <v>106</v>
      </c>
      <c r="J64" t="s">
        <v>94</v>
      </c>
      <c r="K64" t="s">
        <v>95</v>
      </c>
      <c r="L64" s="3" t="s">
        <v>383</v>
      </c>
    </row>
    <row r="65" spans="1:12" ht="16" x14ac:dyDescent="0.2">
      <c r="A65">
        <v>64</v>
      </c>
      <c r="B65">
        <v>1</v>
      </c>
      <c r="C65" t="s">
        <v>302</v>
      </c>
      <c r="D65" t="s">
        <v>185</v>
      </c>
      <c r="E65" t="s">
        <v>303</v>
      </c>
      <c r="F65" t="s">
        <v>162</v>
      </c>
      <c r="G65" t="s">
        <v>162</v>
      </c>
      <c r="H65" t="s">
        <v>162</v>
      </c>
      <c r="I65" t="s">
        <v>106</v>
      </c>
      <c r="J65" t="s">
        <v>64</v>
      </c>
      <c r="K65" t="s">
        <v>65</v>
      </c>
      <c r="L65" s="3" t="s">
        <v>384</v>
      </c>
    </row>
    <row r="66" spans="1:12" ht="16" x14ac:dyDescent="0.2">
      <c r="A66">
        <v>65</v>
      </c>
      <c r="B66">
        <v>1</v>
      </c>
      <c r="C66" t="s">
        <v>304</v>
      </c>
      <c r="D66" t="s">
        <v>160</v>
      </c>
      <c r="E66" t="s">
        <v>305</v>
      </c>
      <c r="F66" t="s">
        <v>162</v>
      </c>
      <c r="G66" t="s">
        <v>306</v>
      </c>
      <c r="H66" t="s">
        <v>162</v>
      </c>
      <c r="I66" t="s">
        <v>106</v>
      </c>
      <c r="J66" t="s">
        <v>12</v>
      </c>
      <c r="K66" t="s">
        <v>13</v>
      </c>
      <c r="L66" s="3" t="s">
        <v>385</v>
      </c>
    </row>
    <row r="67" spans="1:12" ht="16" x14ac:dyDescent="0.2">
      <c r="A67">
        <v>66</v>
      </c>
      <c r="B67">
        <v>1</v>
      </c>
      <c r="C67" t="s">
        <v>304</v>
      </c>
      <c r="D67" t="s">
        <v>160</v>
      </c>
      <c r="E67" t="s">
        <v>305</v>
      </c>
      <c r="F67" t="s">
        <v>162</v>
      </c>
      <c r="G67" t="s">
        <v>306</v>
      </c>
      <c r="H67" t="s">
        <v>162</v>
      </c>
      <c r="I67" t="s">
        <v>104</v>
      </c>
      <c r="J67" t="s">
        <v>15</v>
      </c>
      <c r="K67" t="s">
        <v>14</v>
      </c>
      <c r="L67" s="3" t="s">
        <v>385</v>
      </c>
    </row>
    <row r="68" spans="1:12" ht="16" x14ac:dyDescent="0.2">
      <c r="A68">
        <v>67</v>
      </c>
      <c r="B68">
        <v>1</v>
      </c>
      <c r="C68" t="s">
        <v>307</v>
      </c>
      <c r="D68" t="s">
        <v>160</v>
      </c>
      <c r="E68" t="s">
        <v>308</v>
      </c>
      <c r="F68" t="s">
        <v>162</v>
      </c>
      <c r="G68" t="s">
        <v>309</v>
      </c>
      <c r="H68" t="s">
        <v>162</v>
      </c>
      <c r="I68" t="s">
        <v>106</v>
      </c>
      <c r="J68" t="s">
        <v>70</v>
      </c>
      <c r="K68" t="s">
        <v>71</v>
      </c>
      <c r="L68" s="3" t="s">
        <v>386</v>
      </c>
    </row>
    <row r="69" spans="1:12" ht="16" x14ac:dyDescent="0.2">
      <c r="A69">
        <v>68</v>
      </c>
      <c r="B69">
        <v>2</v>
      </c>
      <c r="C69" t="s">
        <v>310</v>
      </c>
      <c r="D69" t="s">
        <v>311</v>
      </c>
      <c r="E69" t="s">
        <v>312</v>
      </c>
      <c r="F69" t="s">
        <v>201</v>
      </c>
      <c r="G69" t="s">
        <v>313</v>
      </c>
      <c r="H69" t="s">
        <v>201</v>
      </c>
      <c r="I69" t="s">
        <v>108</v>
      </c>
      <c r="J69" t="s">
        <v>73</v>
      </c>
      <c r="K69" t="s">
        <v>138</v>
      </c>
      <c r="L69" s="3" t="s">
        <v>387</v>
      </c>
    </row>
    <row r="70" spans="1:12" ht="16" x14ac:dyDescent="0.2">
      <c r="A70">
        <v>69</v>
      </c>
      <c r="B70">
        <v>1</v>
      </c>
      <c r="C70" t="s">
        <v>314</v>
      </c>
      <c r="D70" t="s">
        <v>160</v>
      </c>
      <c r="E70" t="s">
        <v>308</v>
      </c>
      <c r="F70" t="s">
        <v>162</v>
      </c>
      <c r="G70" t="s">
        <v>309</v>
      </c>
      <c r="H70" t="s">
        <v>162</v>
      </c>
      <c r="I70" t="s">
        <v>104</v>
      </c>
      <c r="J70" t="s">
        <v>152</v>
      </c>
      <c r="K70" t="s">
        <v>153</v>
      </c>
      <c r="L70" s="3" t="s">
        <v>387</v>
      </c>
    </row>
    <row r="71" spans="1:12" ht="16" x14ac:dyDescent="0.2">
      <c r="A71">
        <v>70</v>
      </c>
      <c r="B71">
        <v>2</v>
      </c>
      <c r="C71" t="s">
        <v>310</v>
      </c>
      <c r="D71" t="s">
        <v>311</v>
      </c>
      <c r="E71" t="s">
        <v>312</v>
      </c>
      <c r="F71" t="s">
        <v>201</v>
      </c>
      <c r="G71" t="s">
        <v>313</v>
      </c>
      <c r="H71" t="s">
        <v>201</v>
      </c>
      <c r="I71" t="s">
        <v>104</v>
      </c>
      <c r="J71" t="s">
        <v>72</v>
      </c>
      <c r="K71" t="s">
        <v>71</v>
      </c>
      <c r="L71" s="3" t="s">
        <v>387</v>
      </c>
    </row>
    <row r="72" spans="1:12" ht="16" x14ac:dyDescent="0.2">
      <c r="A72">
        <v>71</v>
      </c>
      <c r="B72">
        <v>1</v>
      </c>
      <c r="C72" t="s">
        <v>315</v>
      </c>
      <c r="D72" t="s">
        <v>185</v>
      </c>
      <c r="E72" t="s">
        <v>316</v>
      </c>
      <c r="F72" t="s">
        <v>317</v>
      </c>
      <c r="G72" t="s">
        <v>162</v>
      </c>
      <c r="H72" t="s">
        <v>318</v>
      </c>
      <c r="I72" t="s">
        <v>106</v>
      </c>
      <c r="J72" t="s">
        <v>90</v>
      </c>
      <c r="K72" t="s">
        <v>91</v>
      </c>
      <c r="L72" s="3" t="s">
        <v>388</v>
      </c>
    </row>
    <row r="73" spans="1:12" ht="21" customHeight="1" x14ac:dyDescent="0.2">
      <c r="A73">
        <v>72</v>
      </c>
      <c r="B73">
        <v>1</v>
      </c>
      <c r="C73" t="s">
        <v>315</v>
      </c>
      <c r="D73" t="s">
        <v>185</v>
      </c>
      <c r="E73" t="s">
        <v>316</v>
      </c>
      <c r="F73" t="s">
        <v>317</v>
      </c>
      <c r="G73" t="s">
        <v>162</v>
      </c>
      <c r="H73" t="s">
        <v>318</v>
      </c>
      <c r="I73" t="s">
        <v>147</v>
      </c>
      <c r="J73" t="s">
        <v>148</v>
      </c>
      <c r="K73" t="s">
        <v>92</v>
      </c>
      <c r="L73" s="3" t="s">
        <v>389</v>
      </c>
    </row>
    <row r="74" spans="1:12" ht="42" customHeight="1" x14ac:dyDescent="0.2">
      <c r="A74">
        <v>73</v>
      </c>
      <c r="B74">
        <v>1</v>
      </c>
      <c r="C74" t="s">
        <v>319</v>
      </c>
      <c r="D74" t="s">
        <v>165</v>
      </c>
      <c r="E74" t="s">
        <v>320</v>
      </c>
      <c r="F74" t="s">
        <v>162</v>
      </c>
      <c r="G74" t="s">
        <v>162</v>
      </c>
      <c r="H74" t="s">
        <v>162</v>
      </c>
      <c r="I74" t="s">
        <v>104</v>
      </c>
      <c r="J74" t="s">
        <v>33</v>
      </c>
      <c r="K74" s="3" t="s">
        <v>121</v>
      </c>
      <c r="L74" s="3" t="s">
        <v>390</v>
      </c>
    </row>
    <row r="75" spans="1:12" ht="61" customHeight="1" x14ac:dyDescent="0.2">
      <c r="A75">
        <v>74</v>
      </c>
      <c r="B75">
        <v>1</v>
      </c>
      <c r="C75" t="s">
        <v>321</v>
      </c>
      <c r="D75" t="s">
        <v>160</v>
      </c>
      <c r="E75" t="s">
        <v>322</v>
      </c>
      <c r="F75" t="s">
        <v>162</v>
      </c>
      <c r="G75" t="s">
        <v>323</v>
      </c>
      <c r="H75" t="s">
        <v>162</v>
      </c>
      <c r="I75" t="s">
        <v>104</v>
      </c>
      <c r="J75" t="s">
        <v>93</v>
      </c>
      <c r="K75" t="s">
        <v>149</v>
      </c>
      <c r="L75" s="3" t="s">
        <v>391</v>
      </c>
    </row>
    <row r="76" spans="1:12" ht="46" customHeight="1" x14ac:dyDescent="0.2">
      <c r="A76">
        <v>75</v>
      </c>
      <c r="B76">
        <v>1</v>
      </c>
      <c r="C76" t="s">
        <v>324</v>
      </c>
      <c r="D76" t="s">
        <v>185</v>
      </c>
      <c r="E76" t="s">
        <v>288</v>
      </c>
      <c r="F76" t="s">
        <v>325</v>
      </c>
      <c r="G76" t="s">
        <v>162</v>
      </c>
      <c r="H76" t="s">
        <v>326</v>
      </c>
      <c r="I76" t="s">
        <v>106</v>
      </c>
      <c r="J76" t="s">
        <v>83</v>
      </c>
      <c r="K76" t="s">
        <v>142</v>
      </c>
      <c r="L76" s="3" t="s">
        <v>392</v>
      </c>
    </row>
  </sheetData>
  <hyperlinks>
    <hyperlink ref="J11" r:id="rId1" xr:uid="{5B1CC23A-6BF8-BB45-B060-16725E114FC0}"/>
    <hyperlink ref="J10" r:id="rId2" xr:uid="{610497CB-7146-5346-A7FC-B73D872E503D}"/>
  </hyperlinks>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CCDED-DD6E-9E48-B43C-E293AA38F069}">
  <dimension ref="A1:E76"/>
  <sheetViews>
    <sheetView topLeftCell="A30" zoomScale="130" zoomScaleNormal="130" workbookViewId="0">
      <selection activeCell="C61" sqref="C61"/>
    </sheetView>
  </sheetViews>
  <sheetFormatPr baseColWidth="10" defaultRowHeight="15" x14ac:dyDescent="0.2"/>
  <cols>
    <col min="1" max="1" width="3.1640625" bestFit="1" customWidth="1"/>
    <col min="2" max="2" width="51" customWidth="1"/>
    <col min="3" max="3" width="38.5" customWidth="1"/>
    <col min="4" max="4" width="21.83203125" customWidth="1"/>
  </cols>
  <sheetData>
    <row r="1" spans="1:5" x14ac:dyDescent="0.2">
      <c r="A1" s="4" t="s">
        <v>5</v>
      </c>
      <c r="B1" s="2" t="s">
        <v>327</v>
      </c>
      <c r="C1" s="5" t="s">
        <v>410</v>
      </c>
      <c r="D1" s="5"/>
    </row>
    <row r="2" spans="1:5" x14ac:dyDescent="0.2">
      <c r="A2">
        <v>1</v>
      </c>
      <c r="B2" t="s">
        <v>394</v>
      </c>
      <c r="C2" t="s">
        <v>416</v>
      </c>
    </row>
    <row r="3" spans="1:5" x14ac:dyDescent="0.2">
      <c r="A3">
        <v>2</v>
      </c>
      <c r="B3" t="s">
        <v>394</v>
      </c>
      <c r="C3" t="s">
        <v>416</v>
      </c>
    </row>
    <row r="4" spans="1:5" x14ac:dyDescent="0.2">
      <c r="A4">
        <v>3</v>
      </c>
      <c r="B4" t="s">
        <v>395</v>
      </c>
      <c r="C4" t="s">
        <v>417</v>
      </c>
    </row>
    <row r="5" spans="1:5" x14ac:dyDescent="0.2">
      <c r="A5">
        <v>4</v>
      </c>
      <c r="B5" t="s">
        <v>396</v>
      </c>
      <c r="C5" t="s">
        <v>418</v>
      </c>
    </row>
    <row r="6" spans="1:5" x14ac:dyDescent="0.2">
      <c r="A6">
        <v>5</v>
      </c>
      <c r="B6" t="s">
        <v>397</v>
      </c>
      <c r="C6" t="s">
        <v>419</v>
      </c>
    </row>
    <row r="7" spans="1:5" x14ac:dyDescent="0.2">
      <c r="A7">
        <v>6</v>
      </c>
      <c r="B7" t="s">
        <v>398</v>
      </c>
      <c r="C7" t="s">
        <v>420</v>
      </c>
    </row>
    <row r="8" spans="1:5" x14ac:dyDescent="0.2">
      <c r="A8">
        <v>7</v>
      </c>
      <c r="B8" t="s">
        <v>399</v>
      </c>
      <c r="C8" t="s">
        <v>422</v>
      </c>
    </row>
    <row r="9" spans="1:5" x14ac:dyDescent="0.2">
      <c r="A9">
        <v>8</v>
      </c>
      <c r="B9" t="s">
        <v>423</v>
      </c>
      <c r="C9" t="s">
        <v>419</v>
      </c>
    </row>
    <row r="10" spans="1:5" ht="16" x14ac:dyDescent="0.2">
      <c r="A10">
        <v>9</v>
      </c>
      <c r="B10" t="s">
        <v>401</v>
      </c>
      <c r="C10" s="3" t="s">
        <v>421</v>
      </c>
    </row>
    <row r="11" spans="1:5" ht="64" x14ac:dyDescent="0.2">
      <c r="A11">
        <v>10</v>
      </c>
      <c r="B11" s="3" t="s">
        <v>334</v>
      </c>
      <c r="C11" s="3" t="s">
        <v>415</v>
      </c>
      <c r="D11" s="3"/>
      <c r="E11" s="3"/>
    </row>
    <row r="12" spans="1:5" x14ac:dyDescent="0.2">
      <c r="A12">
        <v>11</v>
      </c>
      <c r="B12" t="s">
        <v>402</v>
      </c>
      <c r="C12" t="s">
        <v>420</v>
      </c>
    </row>
    <row r="13" spans="1:5" x14ac:dyDescent="0.2">
      <c r="A13">
        <v>12</v>
      </c>
      <c r="B13" t="s">
        <v>403</v>
      </c>
      <c r="C13" t="s">
        <v>425</v>
      </c>
    </row>
    <row r="14" spans="1:5" ht="64" x14ac:dyDescent="0.2">
      <c r="A14">
        <v>13</v>
      </c>
      <c r="B14" s="3" t="s">
        <v>393</v>
      </c>
      <c r="C14" s="3" t="s">
        <v>424</v>
      </c>
      <c r="D14" s="3"/>
    </row>
    <row r="15" spans="1:5" x14ac:dyDescent="0.2">
      <c r="A15">
        <v>14</v>
      </c>
      <c r="B15" t="s">
        <v>404</v>
      </c>
      <c r="C15" t="s">
        <v>425</v>
      </c>
    </row>
    <row r="16" spans="1:5" x14ac:dyDescent="0.2">
      <c r="A16">
        <v>15</v>
      </c>
      <c r="B16" t="s">
        <v>405</v>
      </c>
      <c r="C16" t="s">
        <v>427</v>
      </c>
    </row>
    <row r="17" spans="1:4" ht="64" x14ac:dyDescent="0.2">
      <c r="A17">
        <v>16</v>
      </c>
      <c r="B17" s="3" t="s">
        <v>339</v>
      </c>
      <c r="C17" s="3" t="s">
        <v>428</v>
      </c>
      <c r="D17" s="3"/>
    </row>
    <row r="18" spans="1:4" x14ac:dyDescent="0.2">
      <c r="A18">
        <v>17</v>
      </c>
      <c r="B18" t="s">
        <v>406</v>
      </c>
      <c r="C18" t="s">
        <v>429</v>
      </c>
    </row>
    <row r="19" spans="1:4" x14ac:dyDescent="0.2">
      <c r="A19">
        <v>18</v>
      </c>
      <c r="B19" t="s">
        <v>407</v>
      </c>
      <c r="C19" t="s">
        <v>429</v>
      </c>
    </row>
    <row r="20" spans="1:4" ht="54" customHeight="1" x14ac:dyDescent="0.2">
      <c r="A20">
        <v>19</v>
      </c>
      <c r="B20" t="s">
        <v>408</v>
      </c>
      <c r="C20" t="s">
        <v>429</v>
      </c>
    </row>
    <row r="21" spans="1:4" x14ac:dyDescent="0.2">
      <c r="A21">
        <v>20</v>
      </c>
      <c r="B21" t="s">
        <v>342</v>
      </c>
      <c r="C21" t="s">
        <v>429</v>
      </c>
    </row>
    <row r="22" spans="1:4" x14ac:dyDescent="0.2">
      <c r="A22">
        <v>21</v>
      </c>
      <c r="B22" t="s">
        <v>343</v>
      </c>
      <c r="C22" t="s">
        <v>430</v>
      </c>
    </row>
    <row r="23" spans="1:4" x14ac:dyDescent="0.2">
      <c r="A23">
        <v>22</v>
      </c>
      <c r="B23" t="s">
        <v>344</v>
      </c>
      <c r="C23" t="s">
        <v>416</v>
      </c>
    </row>
    <row r="24" spans="1:4" x14ac:dyDescent="0.2">
      <c r="A24">
        <v>23</v>
      </c>
      <c r="B24" t="s">
        <v>345</v>
      </c>
      <c r="C24" t="s">
        <v>431</v>
      </c>
    </row>
    <row r="25" spans="1:4" x14ac:dyDescent="0.2">
      <c r="A25">
        <v>24</v>
      </c>
      <c r="B25" t="s">
        <v>344</v>
      </c>
      <c r="C25" t="s">
        <v>416</v>
      </c>
    </row>
    <row r="26" spans="1:4" x14ac:dyDescent="0.2">
      <c r="A26">
        <v>25</v>
      </c>
      <c r="B26" t="s">
        <v>344</v>
      </c>
      <c r="C26" t="s">
        <v>416</v>
      </c>
    </row>
    <row r="27" spans="1:4" ht="16" x14ac:dyDescent="0.2">
      <c r="A27">
        <v>26</v>
      </c>
      <c r="B27" t="s">
        <v>346</v>
      </c>
      <c r="C27" s="3" t="s">
        <v>432</v>
      </c>
    </row>
    <row r="28" spans="1:4" ht="64" x14ac:dyDescent="0.2">
      <c r="A28">
        <v>27</v>
      </c>
      <c r="B28" s="3" t="s">
        <v>347</v>
      </c>
      <c r="C28" s="3" t="s">
        <v>433</v>
      </c>
      <c r="D28" s="3"/>
    </row>
    <row r="29" spans="1:4" ht="16" x14ac:dyDescent="0.2">
      <c r="A29">
        <v>28</v>
      </c>
      <c r="B29" t="s">
        <v>348</v>
      </c>
      <c r="C29" s="3" t="s">
        <v>432</v>
      </c>
    </row>
    <row r="30" spans="1:4" ht="64" x14ac:dyDescent="0.2">
      <c r="A30">
        <v>29</v>
      </c>
      <c r="B30" s="3" t="s">
        <v>349</v>
      </c>
      <c r="C30" s="3" t="s">
        <v>434</v>
      </c>
      <c r="D30" s="3"/>
    </row>
    <row r="31" spans="1:4" ht="64" x14ac:dyDescent="0.2">
      <c r="A31">
        <v>30</v>
      </c>
      <c r="B31" s="3" t="s">
        <v>350</v>
      </c>
      <c r="C31" s="3" t="s">
        <v>435</v>
      </c>
      <c r="D31" s="3"/>
    </row>
    <row r="32" spans="1:4" ht="80" x14ac:dyDescent="0.2">
      <c r="A32">
        <v>31</v>
      </c>
      <c r="B32" s="3" t="s">
        <v>351</v>
      </c>
      <c r="C32" s="3" t="s">
        <v>436</v>
      </c>
      <c r="D32" s="3"/>
    </row>
    <row r="33" spans="1:4" ht="32" x14ac:dyDescent="0.2">
      <c r="A33">
        <v>32</v>
      </c>
      <c r="B33" s="3" t="s">
        <v>352</v>
      </c>
      <c r="C33" s="3" t="s">
        <v>438</v>
      </c>
      <c r="D33" s="3"/>
    </row>
    <row r="34" spans="1:4" ht="32" x14ac:dyDescent="0.2">
      <c r="A34">
        <v>33</v>
      </c>
      <c r="B34" s="3" t="s">
        <v>353</v>
      </c>
      <c r="C34" s="3" t="s">
        <v>426</v>
      </c>
      <c r="D34" s="3"/>
    </row>
    <row r="35" spans="1:4" ht="16" x14ac:dyDescent="0.2">
      <c r="A35">
        <v>34</v>
      </c>
      <c r="B35" s="3" t="s">
        <v>354</v>
      </c>
      <c r="C35" s="3" t="s">
        <v>426</v>
      </c>
      <c r="D35" s="3"/>
    </row>
    <row r="36" spans="1:4" ht="32" x14ac:dyDescent="0.2">
      <c r="A36">
        <v>35</v>
      </c>
      <c r="B36" s="3" t="s">
        <v>355</v>
      </c>
      <c r="C36" s="3" t="s">
        <v>437</v>
      </c>
      <c r="D36" s="3"/>
    </row>
    <row r="37" spans="1:4" ht="64" x14ac:dyDescent="0.2">
      <c r="A37">
        <v>36</v>
      </c>
      <c r="B37" s="3" t="s">
        <v>356</v>
      </c>
      <c r="C37" s="3" t="s">
        <v>439</v>
      </c>
      <c r="D37" s="3"/>
    </row>
    <row r="38" spans="1:4" ht="64" x14ac:dyDescent="0.2">
      <c r="A38">
        <v>37</v>
      </c>
      <c r="B38" s="3" t="s">
        <v>357</v>
      </c>
      <c r="C38" s="3" t="s">
        <v>440</v>
      </c>
      <c r="D38" s="3"/>
    </row>
    <row r="39" spans="1:4" ht="64" x14ac:dyDescent="0.2">
      <c r="A39">
        <v>38</v>
      </c>
      <c r="B39" s="3" t="s">
        <v>358</v>
      </c>
      <c r="C39" s="3" t="s">
        <v>441</v>
      </c>
      <c r="D39" s="3"/>
    </row>
    <row r="40" spans="1:4" ht="64" x14ac:dyDescent="0.2">
      <c r="A40">
        <v>39</v>
      </c>
      <c r="B40" s="3" t="s">
        <v>359</v>
      </c>
      <c r="C40" s="3" t="s">
        <v>442</v>
      </c>
      <c r="D40" s="3"/>
    </row>
    <row r="41" spans="1:4" ht="16" x14ac:dyDescent="0.2">
      <c r="A41">
        <v>40</v>
      </c>
      <c r="B41" s="3" t="s">
        <v>360</v>
      </c>
      <c r="C41" s="3" t="s">
        <v>422</v>
      </c>
      <c r="D41" s="3"/>
    </row>
    <row r="42" spans="1:4" ht="32" x14ac:dyDescent="0.2">
      <c r="A42">
        <v>41</v>
      </c>
      <c r="B42" s="3" t="s">
        <v>361</v>
      </c>
      <c r="C42" s="3" t="s">
        <v>418</v>
      </c>
      <c r="D42" s="3"/>
    </row>
    <row r="43" spans="1:4" ht="16" x14ac:dyDescent="0.2">
      <c r="A43">
        <v>42</v>
      </c>
      <c r="B43" s="3" t="s">
        <v>362</v>
      </c>
      <c r="C43" s="3" t="s">
        <v>419</v>
      </c>
      <c r="D43" s="3"/>
    </row>
    <row r="44" spans="1:4" ht="32" x14ac:dyDescent="0.2">
      <c r="A44">
        <v>43</v>
      </c>
      <c r="B44" s="3" t="s">
        <v>364</v>
      </c>
      <c r="C44" s="3" t="s">
        <v>443</v>
      </c>
      <c r="D44" s="3"/>
    </row>
    <row r="45" spans="1:4" ht="32" x14ac:dyDescent="0.2">
      <c r="A45">
        <v>44</v>
      </c>
      <c r="B45" s="3" t="s">
        <v>365</v>
      </c>
      <c r="C45" s="3" t="s">
        <v>419</v>
      </c>
      <c r="D45" s="3"/>
    </row>
    <row r="46" spans="1:4" ht="32" x14ac:dyDescent="0.2">
      <c r="A46">
        <v>45</v>
      </c>
      <c r="B46" s="3" t="s">
        <v>367</v>
      </c>
      <c r="C46" s="3" t="s">
        <v>444</v>
      </c>
      <c r="D46" s="3"/>
    </row>
    <row r="47" spans="1:4" ht="32" x14ac:dyDescent="0.2">
      <c r="A47">
        <v>46</v>
      </c>
      <c r="B47" s="3" t="s">
        <v>366</v>
      </c>
      <c r="C47" s="3" t="s">
        <v>444</v>
      </c>
      <c r="D47" s="3"/>
    </row>
    <row r="48" spans="1:4" ht="64" x14ac:dyDescent="0.2">
      <c r="A48">
        <v>47</v>
      </c>
      <c r="B48" s="3" t="s">
        <v>368</v>
      </c>
      <c r="C48" s="3" t="s">
        <v>445</v>
      </c>
      <c r="D48" s="3"/>
    </row>
    <row r="49" spans="1:4" ht="32" x14ac:dyDescent="0.2">
      <c r="A49">
        <v>48</v>
      </c>
      <c r="B49" s="3" t="s">
        <v>369</v>
      </c>
      <c r="C49" s="3" t="s">
        <v>446</v>
      </c>
      <c r="D49" s="3"/>
    </row>
    <row r="50" spans="1:4" ht="32" x14ac:dyDescent="0.2">
      <c r="A50">
        <v>49</v>
      </c>
      <c r="B50" s="3" t="s">
        <v>448</v>
      </c>
      <c r="C50" s="3" t="s">
        <v>447</v>
      </c>
      <c r="D50" s="3"/>
    </row>
    <row r="51" spans="1:4" ht="32" x14ac:dyDescent="0.2">
      <c r="A51">
        <v>50</v>
      </c>
      <c r="B51" s="3" t="s">
        <v>370</v>
      </c>
      <c r="C51" s="3" t="s">
        <v>450</v>
      </c>
      <c r="D51" s="3"/>
    </row>
    <row r="52" spans="1:4" ht="32" x14ac:dyDescent="0.2">
      <c r="A52">
        <v>51</v>
      </c>
      <c r="B52" s="3" t="s">
        <v>371</v>
      </c>
      <c r="C52" s="3" t="s">
        <v>449</v>
      </c>
      <c r="D52" s="3"/>
    </row>
    <row r="53" spans="1:4" ht="32" x14ac:dyDescent="0.2">
      <c r="A53">
        <v>52</v>
      </c>
      <c r="B53" s="3" t="s">
        <v>372</v>
      </c>
      <c r="C53" s="3" t="s">
        <v>450</v>
      </c>
      <c r="D53" s="3"/>
    </row>
    <row r="54" spans="1:4" ht="32" x14ac:dyDescent="0.2">
      <c r="A54">
        <v>53</v>
      </c>
      <c r="B54" s="3" t="s">
        <v>373</v>
      </c>
      <c r="C54" s="3" t="s">
        <v>451</v>
      </c>
      <c r="D54" s="3"/>
    </row>
    <row r="55" spans="1:4" ht="48" x14ac:dyDescent="0.2">
      <c r="A55">
        <v>54</v>
      </c>
      <c r="B55" s="3" t="s">
        <v>374</v>
      </c>
      <c r="C55" s="3" t="s">
        <v>451</v>
      </c>
      <c r="D55" s="3"/>
    </row>
    <row r="56" spans="1:4" ht="16" x14ac:dyDescent="0.2">
      <c r="A56">
        <v>55</v>
      </c>
      <c r="B56" s="3" t="s">
        <v>375</v>
      </c>
      <c r="C56" s="3" t="s">
        <v>451</v>
      </c>
      <c r="D56" s="3"/>
    </row>
    <row r="57" spans="1:4" ht="32" x14ac:dyDescent="0.2">
      <c r="A57">
        <v>56</v>
      </c>
      <c r="B57" s="3" t="s">
        <v>376</v>
      </c>
      <c r="C57" s="3" t="s">
        <v>452</v>
      </c>
      <c r="D57" s="3"/>
    </row>
    <row r="58" spans="1:4" ht="32" x14ac:dyDescent="0.2">
      <c r="A58">
        <v>57</v>
      </c>
      <c r="B58" s="3" t="s">
        <v>377</v>
      </c>
      <c r="C58" s="3" t="s">
        <v>453</v>
      </c>
      <c r="D58" s="3"/>
    </row>
    <row r="59" spans="1:4" ht="32" x14ac:dyDescent="0.2">
      <c r="A59">
        <v>58</v>
      </c>
      <c r="B59" s="3" t="s">
        <v>378</v>
      </c>
      <c r="C59" s="3" t="s">
        <v>454</v>
      </c>
      <c r="D59" s="3"/>
    </row>
    <row r="60" spans="1:4" ht="32" x14ac:dyDescent="0.2">
      <c r="A60">
        <v>59</v>
      </c>
      <c r="B60" s="3" t="s">
        <v>379</v>
      </c>
      <c r="C60" s="3" t="s">
        <v>454</v>
      </c>
      <c r="D60" s="3"/>
    </row>
    <row r="61" spans="1:4" ht="48" x14ac:dyDescent="0.2">
      <c r="A61">
        <v>60</v>
      </c>
      <c r="B61" s="3" t="s">
        <v>380</v>
      </c>
      <c r="C61" s="3" t="s">
        <v>717</v>
      </c>
      <c r="D61" s="3"/>
    </row>
    <row r="62" spans="1:4" ht="32" x14ac:dyDescent="0.2">
      <c r="A62">
        <v>61</v>
      </c>
      <c r="B62" s="3" t="s">
        <v>381</v>
      </c>
      <c r="C62" s="3" t="s">
        <v>455</v>
      </c>
      <c r="D62" s="3"/>
    </row>
    <row r="63" spans="1:4" ht="32" x14ac:dyDescent="0.2">
      <c r="A63">
        <v>62</v>
      </c>
      <c r="B63" s="3" t="s">
        <v>382</v>
      </c>
      <c r="C63" s="3" t="s">
        <v>456</v>
      </c>
      <c r="D63" s="3"/>
    </row>
    <row r="64" spans="1:4" ht="32" x14ac:dyDescent="0.2">
      <c r="A64">
        <v>63</v>
      </c>
      <c r="B64" s="3" t="s">
        <v>383</v>
      </c>
      <c r="C64" s="3" t="s">
        <v>444</v>
      </c>
      <c r="D64" s="3"/>
    </row>
    <row r="65" spans="1:4" ht="16" x14ac:dyDescent="0.2">
      <c r="A65">
        <v>64</v>
      </c>
      <c r="B65" s="3" t="s">
        <v>384</v>
      </c>
      <c r="C65" s="3" t="s">
        <v>444</v>
      </c>
      <c r="D65" s="3"/>
    </row>
    <row r="66" spans="1:4" ht="32" x14ac:dyDescent="0.2">
      <c r="A66">
        <v>65</v>
      </c>
      <c r="B66" s="3" t="s">
        <v>385</v>
      </c>
      <c r="C66" s="3" t="s">
        <v>457</v>
      </c>
      <c r="D66" s="3"/>
    </row>
    <row r="67" spans="1:4" ht="32" x14ac:dyDescent="0.2">
      <c r="A67">
        <v>66</v>
      </c>
      <c r="B67" s="3" t="s">
        <v>385</v>
      </c>
      <c r="C67" s="3" t="s">
        <v>457</v>
      </c>
      <c r="D67" s="3"/>
    </row>
    <row r="68" spans="1:4" ht="32" x14ac:dyDescent="0.2">
      <c r="A68">
        <v>67</v>
      </c>
      <c r="B68" s="3" t="s">
        <v>386</v>
      </c>
      <c r="C68" s="3" t="s">
        <v>457</v>
      </c>
      <c r="D68" s="3"/>
    </row>
    <row r="69" spans="1:4" ht="32" x14ac:dyDescent="0.2">
      <c r="A69">
        <v>68</v>
      </c>
      <c r="B69" s="3" t="s">
        <v>387</v>
      </c>
      <c r="C69" s="3" t="s">
        <v>457</v>
      </c>
      <c r="D69" s="3"/>
    </row>
    <row r="70" spans="1:4" ht="32" x14ac:dyDescent="0.2">
      <c r="A70">
        <v>69</v>
      </c>
      <c r="B70" s="3" t="s">
        <v>387</v>
      </c>
      <c r="C70" s="3" t="s">
        <v>457</v>
      </c>
      <c r="D70" s="3"/>
    </row>
    <row r="71" spans="1:4" ht="32" x14ac:dyDescent="0.2">
      <c r="A71">
        <v>70</v>
      </c>
      <c r="B71" s="3" t="s">
        <v>387</v>
      </c>
      <c r="C71" s="3" t="s">
        <v>457</v>
      </c>
      <c r="D71" s="3"/>
    </row>
    <row r="72" spans="1:4" ht="32" x14ac:dyDescent="0.2">
      <c r="A72">
        <v>71</v>
      </c>
      <c r="B72" s="3" t="s">
        <v>388</v>
      </c>
      <c r="C72" s="3" t="s">
        <v>458</v>
      </c>
      <c r="D72" s="3"/>
    </row>
    <row r="73" spans="1:4" ht="21" customHeight="1" x14ac:dyDescent="0.2">
      <c r="A73">
        <v>72</v>
      </c>
      <c r="B73" s="3" t="s">
        <v>389</v>
      </c>
      <c r="C73" s="3" t="s">
        <v>458</v>
      </c>
      <c r="D73" s="3"/>
    </row>
    <row r="74" spans="1:4" ht="42" customHeight="1" x14ac:dyDescent="0.2">
      <c r="A74">
        <v>73</v>
      </c>
      <c r="B74" s="3" t="s">
        <v>390</v>
      </c>
      <c r="C74" s="3" t="s">
        <v>459</v>
      </c>
      <c r="D74" s="3"/>
    </row>
    <row r="75" spans="1:4" ht="61" customHeight="1" x14ac:dyDescent="0.2">
      <c r="A75">
        <v>74</v>
      </c>
      <c r="B75" s="3" t="s">
        <v>391</v>
      </c>
      <c r="C75" s="3" t="s">
        <v>460</v>
      </c>
      <c r="D75" s="3"/>
    </row>
    <row r="76" spans="1:4" ht="46" customHeight="1" x14ac:dyDescent="0.2">
      <c r="A76">
        <v>75</v>
      </c>
      <c r="B76" s="3" t="s">
        <v>392</v>
      </c>
      <c r="C76" s="3" t="s">
        <v>461</v>
      </c>
      <c r="D76"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C228E-A7E9-4C49-814F-0615D366B440}">
  <dimension ref="A1:G94"/>
  <sheetViews>
    <sheetView topLeftCell="A28" workbookViewId="0">
      <selection activeCell="I11" sqref="I11"/>
    </sheetView>
  </sheetViews>
  <sheetFormatPr baseColWidth="10" defaultRowHeight="15" x14ac:dyDescent="0.2"/>
  <cols>
    <col min="3" max="3" width="41.5" customWidth="1"/>
    <col min="5" max="5" width="53.1640625" bestFit="1" customWidth="1"/>
  </cols>
  <sheetData>
    <row r="1" spans="1:7" ht="16" x14ac:dyDescent="0.2">
      <c r="A1" s="7" t="s">
        <v>521</v>
      </c>
      <c r="B1" s="7" t="s">
        <v>522</v>
      </c>
      <c r="C1" s="7" t="s">
        <v>327</v>
      </c>
      <c r="D1" s="7" t="s">
        <v>523</v>
      </c>
      <c r="E1" s="7" t="s">
        <v>462</v>
      </c>
      <c r="F1" s="7" t="s">
        <v>710</v>
      </c>
      <c r="G1" s="7" t="s">
        <v>1</v>
      </c>
    </row>
    <row r="2" spans="1:7" ht="16" x14ac:dyDescent="0.2">
      <c r="A2" s="6">
        <v>1</v>
      </c>
      <c r="B2" s="6" t="s">
        <v>524</v>
      </c>
      <c r="C2" s="6" t="s">
        <v>328</v>
      </c>
      <c r="D2" s="6" t="s">
        <v>463</v>
      </c>
      <c r="E2" s="6" t="s">
        <v>411</v>
      </c>
      <c r="F2" t="str">
        <f>_xlfn.XLOOKUP(D2,codebook!A:A,codebook!C:C,"")</f>
        <v>DT1</v>
      </c>
      <c r="G2" t="str">
        <f>_xlfn.XLOOKUP(A2,raw_text!A:A,raw_text!D:D,"")</f>
        <v>['migration']</v>
      </c>
    </row>
    <row r="3" spans="1:7" ht="16" x14ac:dyDescent="0.2">
      <c r="A3" s="6">
        <v>2</v>
      </c>
      <c r="B3" s="6" t="s">
        <v>525</v>
      </c>
      <c r="C3" s="6" t="s">
        <v>328</v>
      </c>
      <c r="D3" s="6" t="s">
        <v>463</v>
      </c>
      <c r="E3" s="6" t="s">
        <v>411</v>
      </c>
      <c r="F3" t="str">
        <f>_xlfn.XLOOKUP(D3,codebook!A:A,codebook!C:C,"")</f>
        <v>DT1</v>
      </c>
      <c r="G3" t="str">
        <f>_xlfn.XLOOKUP(A3,raw_text!A:A,raw_text!D:D,"")</f>
        <v>['migration']</v>
      </c>
    </row>
    <row r="4" spans="1:7" ht="16" x14ac:dyDescent="0.2">
      <c r="A4" s="6">
        <v>3</v>
      </c>
      <c r="B4" s="6" t="s">
        <v>526</v>
      </c>
      <c r="C4" s="6" t="s">
        <v>329</v>
      </c>
      <c r="D4" s="6" t="s">
        <v>464</v>
      </c>
      <c r="E4" s="6" t="s">
        <v>412</v>
      </c>
      <c r="F4" t="str">
        <f>_xlfn.XLOOKUP(D4,codebook!A:A,codebook!C:C,"")</f>
        <v>DT2</v>
      </c>
      <c r="G4" t="str">
        <f>_xlfn.XLOOKUP(A4,raw_text!A:A,raw_text!D:D,"")</f>
        <v>['added']</v>
      </c>
    </row>
    <row r="5" spans="1:7" ht="16" x14ac:dyDescent="0.2">
      <c r="A5" s="6">
        <v>4</v>
      </c>
      <c r="B5" s="6" t="s">
        <v>527</v>
      </c>
      <c r="C5" s="6" t="s">
        <v>330</v>
      </c>
      <c r="D5" s="6" t="s">
        <v>470</v>
      </c>
      <c r="E5" s="6" t="s">
        <v>471</v>
      </c>
      <c r="F5" t="str">
        <f>_xlfn.XLOOKUP(D5,codebook!A:A,codebook!C:C,"")</f>
        <v>DT1</v>
      </c>
      <c r="G5" t="str">
        <f>_xlfn.XLOOKUP(A5,raw_text!A:A,raw_text!D:D,"")</f>
        <v>['added']</v>
      </c>
    </row>
    <row r="6" spans="1:7" ht="16" x14ac:dyDescent="0.2">
      <c r="A6" s="6">
        <v>5</v>
      </c>
      <c r="B6" s="6" t="s">
        <v>528</v>
      </c>
      <c r="C6" s="6" t="s">
        <v>331</v>
      </c>
      <c r="D6" s="6" t="s">
        <v>465</v>
      </c>
      <c r="E6" s="6" t="s">
        <v>413</v>
      </c>
      <c r="F6" t="str">
        <f>_xlfn.XLOOKUP(D6,codebook!A:A,codebook!C:C,"")</f>
        <v>DT5</v>
      </c>
      <c r="G6" t="str">
        <f>_xlfn.XLOOKUP(A6,raw_text!A:A,raw_text!D:D,"")</f>
        <v>['removed']</v>
      </c>
    </row>
    <row r="7" spans="1:7" ht="16" x14ac:dyDescent="0.2">
      <c r="A7" s="6">
        <v>6</v>
      </c>
      <c r="B7" s="6" t="s">
        <v>529</v>
      </c>
      <c r="C7" s="6" t="s">
        <v>530</v>
      </c>
      <c r="D7" s="6" t="s">
        <v>466</v>
      </c>
      <c r="E7" s="6" t="s">
        <v>414</v>
      </c>
      <c r="F7" t="str">
        <f>_xlfn.XLOOKUP(D7,codebook!A:A,codebook!C:C,"")</f>
        <v>DT4</v>
      </c>
      <c r="G7" t="str">
        <f>_xlfn.XLOOKUP(A7,raw_text!A:A,raw_text!D:D,"")</f>
        <v>['removed']</v>
      </c>
    </row>
    <row r="8" spans="1:7" ht="16" x14ac:dyDescent="0.2">
      <c r="A8" s="6">
        <v>7</v>
      </c>
      <c r="B8" s="6" t="s">
        <v>531</v>
      </c>
      <c r="C8" s="6" t="s">
        <v>332</v>
      </c>
      <c r="D8" s="6" t="s">
        <v>467</v>
      </c>
      <c r="E8" s="6" t="s">
        <v>719</v>
      </c>
      <c r="F8" t="str">
        <f>_xlfn.XLOOKUP(D8,codebook!A:A,codebook!C:C,"")</f>
        <v>DT2</v>
      </c>
      <c r="G8" t="str">
        <f>_xlfn.XLOOKUP(A8,raw_text!A:A,raw_text!D:D,"")</f>
        <v>['migration']</v>
      </c>
    </row>
    <row r="9" spans="1:7" ht="16" x14ac:dyDescent="0.2">
      <c r="A9" s="6">
        <v>8</v>
      </c>
      <c r="B9" s="6" t="s">
        <v>532</v>
      </c>
      <c r="C9" s="6" t="s">
        <v>533</v>
      </c>
      <c r="D9" s="6" t="s">
        <v>465</v>
      </c>
      <c r="E9" s="6" t="s">
        <v>413</v>
      </c>
      <c r="F9" t="str">
        <f>_xlfn.XLOOKUP(D9,codebook!A:A,codebook!C:C,"")</f>
        <v>DT5</v>
      </c>
      <c r="G9" t="str">
        <f>_xlfn.XLOOKUP(A9,raw_text!A:A,raw_text!D:D,"")</f>
        <v>['removed']</v>
      </c>
    </row>
    <row r="10" spans="1:7" ht="16" x14ac:dyDescent="0.2">
      <c r="A10" s="6">
        <v>9</v>
      </c>
      <c r="B10" s="6" t="s">
        <v>534</v>
      </c>
      <c r="C10" s="6" t="s">
        <v>333</v>
      </c>
      <c r="D10" s="6" t="s">
        <v>468</v>
      </c>
      <c r="E10" s="6" t="s">
        <v>721</v>
      </c>
      <c r="F10" t="str">
        <f>_xlfn.XLOOKUP(D10,codebook!A:A,codebook!C:C,"")</f>
        <v>DT3</v>
      </c>
      <c r="G10" t="str">
        <f>_xlfn.XLOOKUP(A10,raw_text!A:A,raw_text!D:D,"")</f>
        <v>['removed']</v>
      </c>
    </row>
    <row r="11" spans="1:7" ht="16" x14ac:dyDescent="0.2">
      <c r="A11" s="6">
        <v>10</v>
      </c>
      <c r="B11" s="6" t="s">
        <v>535</v>
      </c>
      <c r="C11" s="6" t="s">
        <v>536</v>
      </c>
      <c r="D11" s="6" t="s">
        <v>466</v>
      </c>
      <c r="E11" s="6" t="s">
        <v>414</v>
      </c>
      <c r="F11" t="str">
        <f>_xlfn.XLOOKUP(D11,codebook!A:A,codebook!C:C,"")</f>
        <v>DT4</v>
      </c>
      <c r="G11" t="str">
        <f>_xlfn.XLOOKUP(A11,raw_text!A:A,raw_text!D:D,"")</f>
        <v>['migration']</v>
      </c>
    </row>
    <row r="12" spans="1:7" ht="16" x14ac:dyDescent="0.2">
      <c r="A12" s="6">
        <v>10</v>
      </c>
      <c r="B12" s="6" t="s">
        <v>537</v>
      </c>
      <c r="C12" s="6" t="s">
        <v>538</v>
      </c>
      <c r="D12" s="6" t="s">
        <v>468</v>
      </c>
      <c r="E12" s="6" t="s">
        <v>721</v>
      </c>
      <c r="F12" t="str">
        <f>_xlfn.XLOOKUP(D12,codebook!A:A,codebook!C:C,"")</f>
        <v>DT3</v>
      </c>
      <c r="G12" t="str">
        <f>_xlfn.XLOOKUP(A12,raw_text!A:A,raw_text!D:D,"")</f>
        <v>['migration']</v>
      </c>
    </row>
    <row r="13" spans="1:7" ht="16" x14ac:dyDescent="0.2">
      <c r="A13" s="6">
        <v>11</v>
      </c>
      <c r="B13" s="6" t="s">
        <v>539</v>
      </c>
      <c r="C13" s="6" t="s">
        <v>335</v>
      </c>
      <c r="D13" s="6" t="s">
        <v>466</v>
      </c>
      <c r="E13" s="6" t="s">
        <v>414</v>
      </c>
      <c r="F13" t="str">
        <f>_xlfn.XLOOKUP(D13,codebook!A:A,codebook!C:C,"")</f>
        <v>DT4</v>
      </c>
      <c r="G13" t="str">
        <f>_xlfn.XLOOKUP(A13,raw_text!A:A,raw_text!D:D,"")</f>
        <v>['removed']</v>
      </c>
    </row>
    <row r="14" spans="1:7" ht="16" x14ac:dyDescent="0.2">
      <c r="A14" s="6">
        <v>12</v>
      </c>
      <c r="B14" s="6" t="s">
        <v>540</v>
      </c>
      <c r="C14" s="6" t="s">
        <v>336</v>
      </c>
      <c r="D14" s="6" t="s">
        <v>469</v>
      </c>
      <c r="E14" s="6" t="s">
        <v>720</v>
      </c>
      <c r="F14" t="str">
        <f>_xlfn.XLOOKUP(D14,codebook!A:A,codebook!C:C,"")</f>
        <v>DT2</v>
      </c>
      <c r="G14" t="str">
        <f>_xlfn.XLOOKUP(A14,raw_text!A:A,raw_text!D:D,"")</f>
        <v>['added']</v>
      </c>
    </row>
    <row r="15" spans="1:7" ht="16" x14ac:dyDescent="0.2">
      <c r="A15" s="6">
        <v>13</v>
      </c>
      <c r="B15" s="6" t="s">
        <v>541</v>
      </c>
      <c r="C15" s="6" t="s">
        <v>542</v>
      </c>
      <c r="D15" s="6" t="s">
        <v>486</v>
      </c>
      <c r="E15" s="6" t="s">
        <v>487</v>
      </c>
      <c r="F15" t="str">
        <f>_xlfn.XLOOKUP(D15,codebook!A:A,codebook!C:C,"")</f>
        <v>DT1</v>
      </c>
      <c r="G15" t="str">
        <f>_xlfn.XLOOKUP(A15,raw_text!A:A,raw_text!D:D,"")</f>
        <v>['added']</v>
      </c>
    </row>
    <row r="16" spans="1:7" ht="16" x14ac:dyDescent="0.2">
      <c r="A16" s="6">
        <v>13</v>
      </c>
      <c r="B16" s="6" t="s">
        <v>543</v>
      </c>
      <c r="C16" s="6" t="s">
        <v>544</v>
      </c>
      <c r="D16" s="6" t="s">
        <v>470</v>
      </c>
      <c r="E16" s="6" t="s">
        <v>471</v>
      </c>
      <c r="F16" t="str">
        <f>_xlfn.XLOOKUP(D16,codebook!A:A,codebook!C:C,"")</f>
        <v>DT1</v>
      </c>
      <c r="G16" t="str">
        <f>_xlfn.XLOOKUP(A16,raw_text!A:A,raw_text!D:D,"")</f>
        <v>['added']</v>
      </c>
    </row>
    <row r="17" spans="1:7" ht="16" x14ac:dyDescent="0.2">
      <c r="A17" s="6">
        <v>14</v>
      </c>
      <c r="B17" s="6" t="s">
        <v>545</v>
      </c>
      <c r="C17" s="6" t="s">
        <v>337</v>
      </c>
      <c r="D17" s="6" t="s">
        <v>469</v>
      </c>
      <c r="E17" s="6" t="s">
        <v>720</v>
      </c>
      <c r="F17" t="str">
        <f>_xlfn.XLOOKUP(D17,codebook!A:A,codebook!C:C,"")</f>
        <v>DT2</v>
      </c>
      <c r="G17" t="str">
        <f>_xlfn.XLOOKUP(A17,raw_text!A:A,raw_text!D:D,"")</f>
        <v>['added']</v>
      </c>
    </row>
    <row r="18" spans="1:7" ht="16" x14ac:dyDescent="0.2">
      <c r="A18" s="6">
        <v>15</v>
      </c>
      <c r="B18" s="6" t="s">
        <v>546</v>
      </c>
      <c r="C18" s="6" t="s">
        <v>338</v>
      </c>
      <c r="D18" s="6" t="s">
        <v>472</v>
      </c>
      <c r="E18" s="6" t="s">
        <v>473</v>
      </c>
      <c r="F18" t="str">
        <f>_xlfn.XLOOKUP(D18,codebook!A:A,codebook!C:C,"")</f>
        <v>DT1</v>
      </c>
      <c r="G18" t="str">
        <f>_xlfn.XLOOKUP(A18,raw_text!A:A,raw_text!D:D,"")</f>
        <v>['updated']</v>
      </c>
    </row>
    <row r="19" spans="1:7" ht="16" x14ac:dyDescent="0.2">
      <c r="A19" s="6">
        <v>16</v>
      </c>
      <c r="B19" s="6" t="s">
        <v>547</v>
      </c>
      <c r="C19" s="6" t="s">
        <v>548</v>
      </c>
      <c r="D19" s="6" t="s">
        <v>474</v>
      </c>
      <c r="E19" s="6" t="s">
        <v>475</v>
      </c>
      <c r="F19" t="str">
        <f>_xlfn.XLOOKUP(D19,codebook!A:A,codebook!C:C,"")</f>
        <v>DT5</v>
      </c>
      <c r="G19" t="str">
        <f>_xlfn.XLOOKUP(A19,raw_text!A:A,raw_text!D:D,"")</f>
        <v>['migration']</v>
      </c>
    </row>
    <row r="20" spans="1:7" ht="16" x14ac:dyDescent="0.2">
      <c r="A20" s="6">
        <v>16</v>
      </c>
      <c r="B20" s="6" t="s">
        <v>549</v>
      </c>
      <c r="C20" s="6" t="s">
        <v>550</v>
      </c>
      <c r="D20" s="6" t="s">
        <v>467</v>
      </c>
      <c r="E20" s="6" t="s">
        <v>719</v>
      </c>
      <c r="F20" t="str">
        <f>_xlfn.XLOOKUP(D20,codebook!A:A,codebook!C:C,"")</f>
        <v>DT2</v>
      </c>
      <c r="G20" t="str">
        <f>_xlfn.XLOOKUP(A20,raw_text!A:A,raw_text!D:D,"")</f>
        <v>['migration']</v>
      </c>
    </row>
    <row r="21" spans="1:7" ht="16" x14ac:dyDescent="0.2">
      <c r="A21" s="6">
        <v>17</v>
      </c>
      <c r="B21" s="6" t="s">
        <v>551</v>
      </c>
      <c r="C21" s="6" t="s">
        <v>340</v>
      </c>
      <c r="D21" s="6" t="s">
        <v>467</v>
      </c>
      <c r="E21" s="6" t="s">
        <v>719</v>
      </c>
      <c r="F21" t="str">
        <f>_xlfn.XLOOKUP(D21,codebook!A:A,codebook!C:C,"")</f>
        <v>DT2</v>
      </c>
      <c r="G21" t="str">
        <f>_xlfn.XLOOKUP(A21,raw_text!A:A,raw_text!D:D,"")</f>
        <v>['migration']</v>
      </c>
    </row>
    <row r="22" spans="1:7" ht="16" x14ac:dyDescent="0.2">
      <c r="A22" s="6">
        <v>18</v>
      </c>
      <c r="B22" s="6" t="s">
        <v>552</v>
      </c>
      <c r="C22" s="6" t="s">
        <v>341</v>
      </c>
      <c r="D22" s="6" t="s">
        <v>467</v>
      </c>
      <c r="E22" s="6" t="s">
        <v>719</v>
      </c>
      <c r="F22" t="str">
        <f>_xlfn.XLOOKUP(D22,codebook!A:A,codebook!C:C,"")</f>
        <v>DT2</v>
      </c>
      <c r="G22" t="str">
        <f>_xlfn.XLOOKUP(A22,raw_text!A:A,raw_text!D:D,"")</f>
        <v>['updated', 'updated']</v>
      </c>
    </row>
    <row r="23" spans="1:7" ht="16" x14ac:dyDescent="0.2">
      <c r="A23" s="6">
        <v>19</v>
      </c>
      <c r="B23" s="6" t="s">
        <v>553</v>
      </c>
      <c r="C23" s="6" t="s">
        <v>554</v>
      </c>
      <c r="D23" s="6" t="s">
        <v>467</v>
      </c>
      <c r="E23" s="6" t="s">
        <v>719</v>
      </c>
      <c r="F23" t="str">
        <f>_xlfn.XLOOKUP(D23,codebook!A:A,codebook!C:C,"")</f>
        <v>DT2</v>
      </c>
      <c r="G23" t="str">
        <f>_xlfn.XLOOKUP(A23,raw_text!A:A,raw_text!D:D,"")</f>
        <v>['updated']</v>
      </c>
    </row>
    <row r="24" spans="1:7" ht="16" x14ac:dyDescent="0.2">
      <c r="A24" s="6">
        <v>20</v>
      </c>
      <c r="B24" s="6" t="s">
        <v>555</v>
      </c>
      <c r="C24" s="6" t="s">
        <v>556</v>
      </c>
      <c r="D24" s="6" t="s">
        <v>467</v>
      </c>
      <c r="E24" s="6" t="s">
        <v>719</v>
      </c>
      <c r="F24" t="str">
        <f>_xlfn.XLOOKUP(D24,codebook!A:A,codebook!C:C,"")</f>
        <v>DT2</v>
      </c>
      <c r="G24" t="str">
        <f>_xlfn.XLOOKUP(A24,raw_text!A:A,raw_text!D:D,"")</f>
        <v>['updated']</v>
      </c>
    </row>
    <row r="25" spans="1:7" ht="16" x14ac:dyDescent="0.2">
      <c r="A25" s="6">
        <v>21</v>
      </c>
      <c r="B25" s="6" t="s">
        <v>557</v>
      </c>
      <c r="C25" s="6" t="s">
        <v>558</v>
      </c>
      <c r="D25" s="6" t="s">
        <v>499</v>
      </c>
      <c r="E25" s="6" t="s">
        <v>500</v>
      </c>
      <c r="F25" t="str">
        <f>_xlfn.XLOOKUP(D25,codebook!A:A,codebook!C:C,"")</f>
        <v>DT2</v>
      </c>
      <c r="G25" t="str">
        <f>_xlfn.XLOOKUP(A25,raw_text!A:A,raw_text!D:D,"")</f>
        <v>['updated']</v>
      </c>
    </row>
    <row r="26" spans="1:7" ht="16" x14ac:dyDescent="0.2">
      <c r="A26" s="6">
        <v>22</v>
      </c>
      <c r="B26" s="6" t="s">
        <v>559</v>
      </c>
      <c r="C26" s="6" t="s">
        <v>560</v>
      </c>
      <c r="D26" s="6" t="s">
        <v>463</v>
      </c>
      <c r="E26" s="6" t="s">
        <v>411</v>
      </c>
      <c r="F26" t="str">
        <f>_xlfn.XLOOKUP(D26,codebook!A:A,codebook!C:C,"")</f>
        <v>DT1</v>
      </c>
      <c r="G26" t="str">
        <f>_xlfn.XLOOKUP(A26,raw_text!A:A,raw_text!D:D,"")</f>
        <v>['added']</v>
      </c>
    </row>
    <row r="27" spans="1:7" ht="16" x14ac:dyDescent="0.2">
      <c r="A27" s="6">
        <v>23</v>
      </c>
      <c r="B27" s="6" t="s">
        <v>561</v>
      </c>
      <c r="C27" s="6" t="s">
        <v>562</v>
      </c>
      <c r="D27" s="6" t="s">
        <v>467</v>
      </c>
      <c r="E27" s="6" t="s">
        <v>719</v>
      </c>
      <c r="F27" t="str">
        <f>_xlfn.XLOOKUP(D27,codebook!A:A,codebook!C:C,"")</f>
        <v>DT2</v>
      </c>
      <c r="G27" t="str">
        <f>_xlfn.XLOOKUP(A27,raw_text!A:A,raw_text!D:D,"")</f>
        <v>['updated']</v>
      </c>
    </row>
    <row r="28" spans="1:7" ht="16" x14ac:dyDescent="0.2">
      <c r="A28" s="6">
        <v>24</v>
      </c>
      <c r="B28" s="6" t="s">
        <v>563</v>
      </c>
      <c r="C28" s="6" t="s">
        <v>560</v>
      </c>
      <c r="D28" s="6" t="s">
        <v>463</v>
      </c>
      <c r="E28" s="6" t="s">
        <v>411</v>
      </c>
      <c r="F28" t="str">
        <f>_xlfn.XLOOKUP(D28,codebook!A:A,codebook!C:C,"")</f>
        <v>DT1</v>
      </c>
      <c r="G28" t="str">
        <f>_xlfn.XLOOKUP(A28,raw_text!A:A,raw_text!D:D,"")</f>
        <v>['added']</v>
      </c>
    </row>
    <row r="29" spans="1:7" ht="16" x14ac:dyDescent="0.2">
      <c r="A29" s="6">
        <v>25</v>
      </c>
      <c r="B29" s="6" t="s">
        <v>564</v>
      </c>
      <c r="C29" s="6" t="s">
        <v>560</v>
      </c>
      <c r="D29" s="6" t="s">
        <v>463</v>
      </c>
      <c r="E29" s="6" t="s">
        <v>411</v>
      </c>
      <c r="F29" t="str">
        <f>_xlfn.XLOOKUP(D29,codebook!A:A,codebook!C:C,"")</f>
        <v>DT1</v>
      </c>
      <c r="G29" t="str">
        <f>_xlfn.XLOOKUP(A29,raw_text!A:A,raw_text!D:D,"")</f>
        <v>['added']</v>
      </c>
    </row>
    <row r="30" spans="1:7" ht="16" x14ac:dyDescent="0.2">
      <c r="A30" s="6">
        <v>26</v>
      </c>
      <c r="B30" s="6" t="s">
        <v>565</v>
      </c>
      <c r="C30" s="6" t="s">
        <v>566</v>
      </c>
      <c r="D30" s="6" t="s">
        <v>476</v>
      </c>
      <c r="E30" s="6" t="s">
        <v>477</v>
      </c>
      <c r="F30" t="str">
        <f>_xlfn.XLOOKUP(D30,codebook!A:A,codebook!C:C,"")</f>
        <v>DT5</v>
      </c>
      <c r="G30" t="str">
        <f>_xlfn.XLOOKUP(A30,raw_text!A:A,raw_text!D:D,"")</f>
        <v>['migration']</v>
      </c>
    </row>
    <row r="31" spans="1:7" ht="16" x14ac:dyDescent="0.2">
      <c r="A31" s="6">
        <v>27</v>
      </c>
      <c r="B31" s="6" t="s">
        <v>567</v>
      </c>
      <c r="C31" s="6" t="s">
        <v>568</v>
      </c>
      <c r="D31" s="6" t="s">
        <v>476</v>
      </c>
      <c r="E31" s="6" t="s">
        <v>477</v>
      </c>
      <c r="F31" t="str">
        <f>_xlfn.XLOOKUP(D31,codebook!A:A,codebook!C:C,"")</f>
        <v>DT5</v>
      </c>
      <c r="G31" t="str">
        <f>_xlfn.XLOOKUP(A31,raw_text!A:A,raw_text!D:D,"")</f>
        <v>['migration']</v>
      </c>
    </row>
    <row r="32" spans="1:7" ht="16" x14ac:dyDescent="0.2">
      <c r="A32" s="6">
        <v>27</v>
      </c>
      <c r="B32" s="6" t="s">
        <v>569</v>
      </c>
      <c r="C32" s="6" t="s">
        <v>570</v>
      </c>
      <c r="D32" s="6" t="s">
        <v>467</v>
      </c>
      <c r="E32" s="6" t="s">
        <v>719</v>
      </c>
      <c r="F32" t="str">
        <f>_xlfn.XLOOKUP(D32,codebook!A:A,codebook!C:C,"")</f>
        <v>DT2</v>
      </c>
      <c r="G32" t="str">
        <f>_xlfn.XLOOKUP(A32,raw_text!A:A,raw_text!D:D,"")</f>
        <v>['migration']</v>
      </c>
    </row>
    <row r="33" spans="1:7" ht="16" x14ac:dyDescent="0.2">
      <c r="A33" s="6">
        <v>28</v>
      </c>
      <c r="B33" s="6" t="s">
        <v>571</v>
      </c>
      <c r="C33" s="6" t="s">
        <v>566</v>
      </c>
      <c r="D33" s="6" t="s">
        <v>476</v>
      </c>
      <c r="E33" s="6" t="s">
        <v>477</v>
      </c>
      <c r="F33" t="str">
        <f>_xlfn.XLOOKUP(D33,codebook!A:A,codebook!C:C,"")</f>
        <v>DT5</v>
      </c>
      <c r="G33" t="str">
        <f>_xlfn.XLOOKUP(A33,raw_text!A:A,raw_text!D:D,"")</f>
        <v>['migration']</v>
      </c>
    </row>
    <row r="34" spans="1:7" ht="16" x14ac:dyDescent="0.2">
      <c r="A34" s="6">
        <v>29</v>
      </c>
      <c r="B34" s="6" t="s">
        <v>572</v>
      </c>
      <c r="C34" s="6" t="s">
        <v>573</v>
      </c>
      <c r="D34" s="6" t="s">
        <v>467</v>
      </c>
      <c r="E34" s="6" t="s">
        <v>719</v>
      </c>
      <c r="F34" t="str">
        <f>_xlfn.XLOOKUP(D34,codebook!A:A,codebook!C:C,"")</f>
        <v>DT2</v>
      </c>
      <c r="G34" t="str">
        <f>_xlfn.XLOOKUP(A34,raw_text!A:A,raw_text!D:D,"")</f>
        <v>['updated']</v>
      </c>
    </row>
    <row r="35" spans="1:7" ht="16" x14ac:dyDescent="0.2">
      <c r="A35" s="6">
        <v>29</v>
      </c>
      <c r="B35" s="6" t="s">
        <v>574</v>
      </c>
      <c r="C35" s="6" t="s">
        <v>575</v>
      </c>
      <c r="D35" s="6" t="s">
        <v>467</v>
      </c>
      <c r="E35" s="6" t="s">
        <v>719</v>
      </c>
      <c r="F35" t="str">
        <f>_xlfn.XLOOKUP(D35,codebook!A:A,codebook!C:C,"")</f>
        <v>DT2</v>
      </c>
      <c r="G35" t="str">
        <f>_xlfn.XLOOKUP(A35,raw_text!A:A,raw_text!D:D,"")</f>
        <v>['updated']</v>
      </c>
    </row>
    <row r="36" spans="1:7" ht="16" x14ac:dyDescent="0.2">
      <c r="A36" s="6">
        <v>30</v>
      </c>
      <c r="B36" s="6" t="s">
        <v>576</v>
      </c>
      <c r="C36" s="6" t="s">
        <v>577</v>
      </c>
      <c r="D36" s="6" t="s">
        <v>478</v>
      </c>
      <c r="E36" s="6" t="s">
        <v>479</v>
      </c>
      <c r="F36" t="str">
        <f>_xlfn.XLOOKUP(D36,codebook!A:A,codebook!C:C,"")</f>
        <v>DT5</v>
      </c>
      <c r="G36" t="str">
        <f>_xlfn.XLOOKUP(A36,raw_text!A:A,raw_text!D:D,"")</f>
        <v>['added']</v>
      </c>
    </row>
    <row r="37" spans="1:7" ht="16" x14ac:dyDescent="0.2">
      <c r="A37" s="6">
        <v>30</v>
      </c>
      <c r="B37" s="6" t="s">
        <v>578</v>
      </c>
      <c r="C37" s="6" t="s">
        <v>579</v>
      </c>
      <c r="D37" s="6" t="s">
        <v>467</v>
      </c>
      <c r="E37" s="6" t="s">
        <v>719</v>
      </c>
      <c r="F37" t="str">
        <f>_xlfn.XLOOKUP(D37,codebook!A:A,codebook!C:C,"")</f>
        <v>DT2</v>
      </c>
      <c r="G37" t="str">
        <f>_xlfn.XLOOKUP(A37,raw_text!A:A,raw_text!D:D,"")</f>
        <v>['added']</v>
      </c>
    </row>
    <row r="38" spans="1:7" ht="16" x14ac:dyDescent="0.2">
      <c r="A38" s="6">
        <v>31</v>
      </c>
      <c r="B38" s="6" t="s">
        <v>580</v>
      </c>
      <c r="C38" s="6" t="s">
        <v>581</v>
      </c>
      <c r="D38" s="6" t="s">
        <v>480</v>
      </c>
      <c r="E38" s="6" t="s">
        <v>481</v>
      </c>
      <c r="F38" t="str">
        <f>_xlfn.XLOOKUP(D38,codebook!A:A,codebook!C:C,"")</f>
        <v>DT5</v>
      </c>
      <c r="G38" t="str">
        <f>_xlfn.XLOOKUP(A38,raw_text!A:A,raw_text!D:D,"")</f>
        <v>['migration']</v>
      </c>
    </row>
    <row r="39" spans="1:7" ht="16" x14ac:dyDescent="0.2">
      <c r="A39" s="6">
        <v>31</v>
      </c>
      <c r="B39" s="6" t="s">
        <v>582</v>
      </c>
      <c r="C39" s="6" t="s">
        <v>583</v>
      </c>
      <c r="D39" s="6" t="s">
        <v>482</v>
      </c>
      <c r="E39" s="6" t="s">
        <v>483</v>
      </c>
      <c r="F39" t="str">
        <f>_xlfn.XLOOKUP(D39,codebook!A:A,codebook!C:C,"")</f>
        <v>DT5</v>
      </c>
      <c r="G39" t="str">
        <f>_xlfn.XLOOKUP(A39,raw_text!A:A,raw_text!D:D,"")</f>
        <v>['migration']</v>
      </c>
    </row>
    <row r="40" spans="1:7" ht="16" x14ac:dyDescent="0.2">
      <c r="A40" s="6">
        <v>32</v>
      </c>
      <c r="B40" s="6" t="s">
        <v>584</v>
      </c>
      <c r="C40" s="6" t="s">
        <v>585</v>
      </c>
      <c r="D40" s="6" t="s">
        <v>484</v>
      </c>
      <c r="E40" s="6" t="s">
        <v>485</v>
      </c>
      <c r="F40" t="str">
        <f>_xlfn.XLOOKUP(D40,codebook!A:A,codebook!C:C,"")</f>
        <v>DT2</v>
      </c>
      <c r="G40" t="str">
        <f>_xlfn.XLOOKUP(A40,raw_text!A:A,raw_text!D:D,"")</f>
        <v>['migration']</v>
      </c>
    </row>
    <row r="41" spans="1:7" ht="16" x14ac:dyDescent="0.2">
      <c r="A41" s="6">
        <v>33</v>
      </c>
      <c r="B41" s="6" t="s">
        <v>586</v>
      </c>
      <c r="C41" s="6" t="s">
        <v>587</v>
      </c>
      <c r="D41" s="6" t="s">
        <v>486</v>
      </c>
      <c r="E41" s="6" t="s">
        <v>487</v>
      </c>
      <c r="F41" t="str">
        <f>_xlfn.XLOOKUP(D41,codebook!A:A,codebook!C:C,"")</f>
        <v>DT1</v>
      </c>
      <c r="G41" t="str">
        <f>_xlfn.XLOOKUP(A41,raw_text!A:A,raw_text!D:D,"")</f>
        <v>['added']</v>
      </c>
    </row>
    <row r="42" spans="1:7" ht="16" x14ac:dyDescent="0.2">
      <c r="A42" s="6">
        <v>34</v>
      </c>
      <c r="B42" s="6" t="s">
        <v>588</v>
      </c>
      <c r="C42" s="6" t="s">
        <v>589</v>
      </c>
      <c r="D42" s="6" t="s">
        <v>486</v>
      </c>
      <c r="E42" s="6" t="s">
        <v>487</v>
      </c>
      <c r="F42" t="str">
        <f>_xlfn.XLOOKUP(D42,codebook!A:A,codebook!C:C,"")</f>
        <v>DT1</v>
      </c>
      <c r="G42" t="str">
        <f>_xlfn.XLOOKUP(A42,raw_text!A:A,raw_text!D:D,"")</f>
        <v>['added']</v>
      </c>
    </row>
    <row r="43" spans="1:7" ht="16" x14ac:dyDescent="0.2">
      <c r="A43" s="6">
        <v>35</v>
      </c>
      <c r="B43" s="6" t="s">
        <v>590</v>
      </c>
      <c r="C43" s="6" t="s">
        <v>591</v>
      </c>
      <c r="D43" s="6" t="s">
        <v>469</v>
      </c>
      <c r="E43" s="6" t="s">
        <v>720</v>
      </c>
      <c r="F43" t="str">
        <f>_xlfn.XLOOKUP(D43,codebook!A:A,codebook!C:C,"")</f>
        <v>DT2</v>
      </c>
      <c r="G43" t="str">
        <f>_xlfn.XLOOKUP(A43,raw_text!A:A,raw_text!D:D,"")</f>
        <v>['removed', 'removed']</v>
      </c>
    </row>
    <row r="44" spans="1:7" ht="16" x14ac:dyDescent="0.2">
      <c r="A44" s="6">
        <v>36</v>
      </c>
      <c r="B44" s="6" t="s">
        <v>592</v>
      </c>
      <c r="C44" s="6" t="s">
        <v>593</v>
      </c>
      <c r="D44" s="6" t="s">
        <v>486</v>
      </c>
      <c r="E44" s="6" t="s">
        <v>487</v>
      </c>
      <c r="F44" t="str">
        <f>_xlfn.XLOOKUP(D44,codebook!A:A,codebook!C:C,"")</f>
        <v>DT1</v>
      </c>
      <c r="G44" t="str">
        <f>_xlfn.XLOOKUP(A44,raw_text!A:A,raw_text!D:D,"")</f>
        <v>['updated']</v>
      </c>
    </row>
    <row r="45" spans="1:7" ht="16" x14ac:dyDescent="0.2">
      <c r="A45" s="6">
        <v>36</v>
      </c>
      <c r="B45" s="6" t="s">
        <v>594</v>
      </c>
      <c r="C45" s="6" t="s">
        <v>595</v>
      </c>
      <c r="D45" s="6" t="s">
        <v>488</v>
      </c>
      <c r="E45" s="6" t="s">
        <v>489</v>
      </c>
      <c r="F45" t="str">
        <f>_xlfn.XLOOKUP(D45,codebook!A:A,codebook!C:C,"")</f>
        <v>DT2</v>
      </c>
      <c r="G45" t="str">
        <f>_xlfn.XLOOKUP(A45,raw_text!A:A,raw_text!D:D,"")</f>
        <v>['updated']</v>
      </c>
    </row>
    <row r="46" spans="1:7" ht="16" x14ac:dyDescent="0.2">
      <c r="A46" s="6">
        <v>37</v>
      </c>
      <c r="B46" s="6" t="s">
        <v>596</v>
      </c>
      <c r="C46" s="6" t="s">
        <v>597</v>
      </c>
      <c r="D46" s="6" t="s">
        <v>490</v>
      </c>
      <c r="E46" s="6" t="s">
        <v>491</v>
      </c>
      <c r="F46" t="str">
        <f>_xlfn.XLOOKUP(D46,codebook!A:A,codebook!C:C,"")</f>
        <v>DT6</v>
      </c>
      <c r="G46" t="str">
        <f>_xlfn.XLOOKUP(A46,raw_text!A:A,raw_text!D:D,"")</f>
        <v>['migration']</v>
      </c>
    </row>
    <row r="47" spans="1:7" ht="16" x14ac:dyDescent="0.2">
      <c r="A47" s="6">
        <v>37</v>
      </c>
      <c r="B47" s="6" t="s">
        <v>598</v>
      </c>
      <c r="C47" s="6" t="s">
        <v>599</v>
      </c>
      <c r="D47" s="6" t="s">
        <v>492</v>
      </c>
      <c r="E47" s="6" t="s">
        <v>493</v>
      </c>
      <c r="F47" t="str">
        <f>_xlfn.XLOOKUP(D47,codebook!A:A,codebook!C:C,"")</f>
        <v>DT6</v>
      </c>
      <c r="G47" t="str">
        <f>_xlfn.XLOOKUP(A47,raw_text!A:A,raw_text!D:D,"")</f>
        <v>['migration']</v>
      </c>
    </row>
    <row r="48" spans="1:7" ht="16" x14ac:dyDescent="0.2">
      <c r="A48" s="6">
        <v>38</v>
      </c>
      <c r="B48" s="6" t="s">
        <v>600</v>
      </c>
      <c r="C48" s="6" t="s">
        <v>601</v>
      </c>
      <c r="D48" s="6" t="s">
        <v>494</v>
      </c>
      <c r="E48" s="6" t="s">
        <v>718</v>
      </c>
      <c r="F48" t="str">
        <f>_xlfn.XLOOKUP(D48,codebook!A:A,codebook!C:C,"")</f>
        <v>DT2</v>
      </c>
      <c r="G48" t="str">
        <f>_xlfn.XLOOKUP(A48,raw_text!A:A,raw_text!D:D,"")</f>
        <v>['updated']</v>
      </c>
    </row>
    <row r="49" spans="1:7" ht="16" x14ac:dyDescent="0.2">
      <c r="A49" s="6">
        <v>38</v>
      </c>
      <c r="B49" s="6" t="s">
        <v>602</v>
      </c>
      <c r="C49" s="6" t="s">
        <v>603</v>
      </c>
      <c r="D49" s="6" t="s">
        <v>494</v>
      </c>
      <c r="E49" s="6" t="s">
        <v>718</v>
      </c>
      <c r="F49" t="str">
        <f>_xlfn.XLOOKUP(D49,codebook!A:A,codebook!C:C,"")</f>
        <v>DT2</v>
      </c>
      <c r="G49" t="str">
        <f>_xlfn.XLOOKUP(A49,raw_text!A:A,raw_text!D:D,"")</f>
        <v>['updated']</v>
      </c>
    </row>
    <row r="50" spans="1:7" ht="16" x14ac:dyDescent="0.2">
      <c r="A50" s="6">
        <v>39</v>
      </c>
      <c r="B50" s="6" t="s">
        <v>604</v>
      </c>
      <c r="C50" s="6" t="s">
        <v>605</v>
      </c>
      <c r="D50" s="6" t="s">
        <v>467</v>
      </c>
      <c r="E50" s="6" t="s">
        <v>719</v>
      </c>
      <c r="F50" t="str">
        <f>_xlfn.XLOOKUP(D50,codebook!A:A,codebook!C:C,"")</f>
        <v>DT2</v>
      </c>
      <c r="G50" t="str">
        <f>_xlfn.XLOOKUP(A50,raw_text!A:A,raw_text!D:D,"")</f>
        <v>['updated']</v>
      </c>
    </row>
    <row r="51" spans="1:7" ht="16" x14ac:dyDescent="0.2">
      <c r="A51" s="6">
        <v>39</v>
      </c>
      <c r="B51" s="6" t="s">
        <v>606</v>
      </c>
      <c r="C51" s="6" t="s">
        <v>607</v>
      </c>
      <c r="D51" s="6" t="s">
        <v>495</v>
      </c>
      <c r="E51" s="6" t="s">
        <v>496</v>
      </c>
      <c r="F51" t="str">
        <f>_xlfn.XLOOKUP(D51,codebook!A:A,codebook!C:C,"")</f>
        <v>DT2</v>
      </c>
      <c r="G51" t="str">
        <f>_xlfn.XLOOKUP(A51,raw_text!A:A,raw_text!D:D,"")</f>
        <v>['updated']</v>
      </c>
    </row>
    <row r="52" spans="1:7" ht="16" x14ac:dyDescent="0.2">
      <c r="A52" s="6">
        <v>40</v>
      </c>
      <c r="B52" s="6" t="s">
        <v>608</v>
      </c>
      <c r="C52" s="6" t="s">
        <v>609</v>
      </c>
      <c r="D52" s="6" t="s">
        <v>467</v>
      </c>
      <c r="E52" s="6" t="s">
        <v>719</v>
      </c>
      <c r="F52" t="str">
        <f>_xlfn.XLOOKUP(D52,codebook!A:A,codebook!C:C,"")</f>
        <v>DT2</v>
      </c>
      <c r="G52" t="str">
        <f>_xlfn.XLOOKUP(A52,raw_text!A:A,raw_text!D:D,"")</f>
        <v>['updated']</v>
      </c>
    </row>
    <row r="53" spans="1:7" ht="16" x14ac:dyDescent="0.2">
      <c r="A53" s="6">
        <v>41</v>
      </c>
      <c r="B53" s="6" t="s">
        <v>610</v>
      </c>
      <c r="C53" s="6" t="s">
        <v>611</v>
      </c>
      <c r="D53" s="6" t="s">
        <v>470</v>
      </c>
      <c r="E53" s="6" t="s">
        <v>471</v>
      </c>
      <c r="F53" t="str">
        <f>_xlfn.XLOOKUP(D53,codebook!A:A,codebook!C:C,"")</f>
        <v>DT1</v>
      </c>
      <c r="G53" t="str">
        <f>_xlfn.XLOOKUP(A53,raw_text!A:A,raw_text!D:D,"")</f>
        <v>['migration']</v>
      </c>
    </row>
    <row r="54" spans="1:7" ht="16" x14ac:dyDescent="0.2">
      <c r="A54" s="6">
        <v>42</v>
      </c>
      <c r="B54" s="6" t="s">
        <v>612</v>
      </c>
      <c r="C54" s="6" t="s">
        <v>613</v>
      </c>
      <c r="D54" s="6" t="s">
        <v>465</v>
      </c>
      <c r="E54" s="6" t="s">
        <v>413</v>
      </c>
      <c r="F54" t="str">
        <f>_xlfn.XLOOKUP(D54,codebook!A:A,codebook!C:C,"")</f>
        <v>DT5</v>
      </c>
      <c r="G54" t="str">
        <f>_xlfn.XLOOKUP(A54,raw_text!A:A,raw_text!D:D,"")</f>
        <v>['removed', 'removed']</v>
      </c>
    </row>
    <row r="55" spans="1:7" ht="16" x14ac:dyDescent="0.2">
      <c r="A55" s="6">
        <v>43</v>
      </c>
      <c r="B55" s="6" t="s">
        <v>614</v>
      </c>
      <c r="C55" s="6" t="s">
        <v>363</v>
      </c>
      <c r="D55" s="6" t="s">
        <v>497</v>
      </c>
      <c r="E55" s="6" t="s">
        <v>498</v>
      </c>
      <c r="F55" t="str">
        <f>_xlfn.XLOOKUP(D55,codebook!A:A,codebook!C:C,"")</f>
        <v>DT2</v>
      </c>
      <c r="G55" t="str">
        <f>_xlfn.XLOOKUP(A55,raw_text!A:A,raw_text!D:D,"")</f>
        <v>['migration']</v>
      </c>
    </row>
    <row r="56" spans="1:7" ht="16" x14ac:dyDescent="0.2">
      <c r="A56" s="6">
        <v>44</v>
      </c>
      <c r="B56" s="6" t="s">
        <v>615</v>
      </c>
      <c r="C56" s="6" t="s">
        <v>616</v>
      </c>
      <c r="D56" s="6" t="s">
        <v>465</v>
      </c>
      <c r="E56" s="6" t="s">
        <v>413</v>
      </c>
      <c r="F56" t="str">
        <f>_xlfn.XLOOKUP(D56,codebook!A:A,codebook!C:C,"")</f>
        <v>DT5</v>
      </c>
      <c r="G56" t="str">
        <f>_xlfn.XLOOKUP(A56,raw_text!A:A,raw_text!D:D,"")</f>
        <v>['removed', 'removed']</v>
      </c>
    </row>
    <row r="57" spans="1:7" ht="16" x14ac:dyDescent="0.2">
      <c r="A57" s="6">
        <v>45</v>
      </c>
      <c r="B57" s="6" t="s">
        <v>617</v>
      </c>
      <c r="C57" s="6" t="s">
        <v>618</v>
      </c>
      <c r="D57" s="6" t="s">
        <v>499</v>
      </c>
      <c r="E57" s="6" t="s">
        <v>500</v>
      </c>
      <c r="F57" t="str">
        <f>_xlfn.XLOOKUP(D57,codebook!A:A,codebook!C:C,"")</f>
        <v>DT2</v>
      </c>
      <c r="G57" t="str">
        <f>_xlfn.XLOOKUP(A57,raw_text!A:A,raw_text!D:D,"")</f>
        <v>['added']</v>
      </c>
    </row>
    <row r="58" spans="1:7" ht="16" x14ac:dyDescent="0.2">
      <c r="A58" s="6">
        <v>46</v>
      </c>
      <c r="B58" s="6" t="s">
        <v>619</v>
      </c>
      <c r="C58" s="6" t="s">
        <v>620</v>
      </c>
      <c r="D58" s="6" t="s">
        <v>499</v>
      </c>
      <c r="E58" s="6" t="s">
        <v>500</v>
      </c>
      <c r="F58" t="str">
        <f>_xlfn.XLOOKUP(D58,codebook!A:A,codebook!C:C,"")</f>
        <v>DT2</v>
      </c>
      <c r="G58" t="str">
        <f>_xlfn.XLOOKUP(A58,raw_text!A:A,raw_text!D:D,"")</f>
        <v>['added']</v>
      </c>
    </row>
    <row r="59" spans="1:7" ht="16" x14ac:dyDescent="0.2">
      <c r="A59" s="6">
        <v>47</v>
      </c>
      <c r="B59" s="6" t="s">
        <v>621</v>
      </c>
      <c r="C59" s="6" t="s">
        <v>622</v>
      </c>
      <c r="D59" s="6" t="s">
        <v>501</v>
      </c>
      <c r="E59" s="6" t="s">
        <v>502</v>
      </c>
      <c r="F59" t="str">
        <f>_xlfn.XLOOKUP(D59,codebook!A:A,codebook!C:C,"")</f>
        <v>DT3</v>
      </c>
      <c r="G59" t="str">
        <f>_xlfn.XLOOKUP(A59,raw_text!A:A,raw_text!D:D,"")</f>
        <v>['removed']</v>
      </c>
    </row>
    <row r="60" spans="1:7" ht="16" x14ac:dyDescent="0.2">
      <c r="A60" s="6">
        <v>47</v>
      </c>
      <c r="B60" s="6" t="s">
        <v>623</v>
      </c>
      <c r="C60" s="6" t="s">
        <v>624</v>
      </c>
      <c r="D60" s="6" t="s">
        <v>503</v>
      </c>
      <c r="E60" s="6" t="s">
        <v>504</v>
      </c>
      <c r="F60" t="str">
        <f>_xlfn.XLOOKUP(D60,codebook!A:A,codebook!C:C,"")</f>
        <v>DT3</v>
      </c>
      <c r="G60" t="str">
        <f>_xlfn.XLOOKUP(A60,raw_text!A:A,raw_text!D:D,"")</f>
        <v>['removed']</v>
      </c>
    </row>
    <row r="61" spans="1:7" ht="16" x14ac:dyDescent="0.2">
      <c r="A61" s="6">
        <v>48</v>
      </c>
      <c r="B61" s="6" t="s">
        <v>625</v>
      </c>
      <c r="C61" s="6" t="s">
        <v>622</v>
      </c>
      <c r="D61" s="6" t="s">
        <v>501</v>
      </c>
      <c r="E61" s="6" t="s">
        <v>502</v>
      </c>
      <c r="F61" t="str">
        <f>_xlfn.XLOOKUP(D61,codebook!A:A,codebook!C:C,"")</f>
        <v>DT3</v>
      </c>
      <c r="G61" t="str">
        <f>_xlfn.XLOOKUP(A61,raw_text!A:A,raw_text!D:D,"")</f>
        <v>['removed']</v>
      </c>
    </row>
    <row r="62" spans="1:7" ht="16" x14ac:dyDescent="0.2">
      <c r="A62" s="6">
        <v>49</v>
      </c>
      <c r="B62" s="6" t="s">
        <v>626</v>
      </c>
      <c r="C62" s="6" t="s">
        <v>627</v>
      </c>
      <c r="D62" s="6" t="s">
        <v>505</v>
      </c>
      <c r="E62" s="6" t="s">
        <v>506</v>
      </c>
      <c r="F62" t="str">
        <f>_xlfn.XLOOKUP(D62,codebook!A:A,codebook!C:C,"")</f>
        <v>DT4</v>
      </c>
      <c r="G62" t="str">
        <f>_xlfn.XLOOKUP(A62,raw_text!A:A,raw_text!D:D,"")</f>
        <v>['added']</v>
      </c>
    </row>
    <row r="63" spans="1:7" ht="16" x14ac:dyDescent="0.2">
      <c r="A63" s="6">
        <v>50</v>
      </c>
      <c r="B63" s="6" t="s">
        <v>628</v>
      </c>
      <c r="C63" s="6" t="s">
        <v>629</v>
      </c>
      <c r="D63" s="6" t="s">
        <v>507</v>
      </c>
      <c r="E63" s="6" t="s">
        <v>508</v>
      </c>
      <c r="F63" t="str">
        <f>_xlfn.XLOOKUP(D63,codebook!A:A,codebook!C:C,"")</f>
        <v>DT6</v>
      </c>
      <c r="G63" t="str">
        <f>_xlfn.XLOOKUP(A63,raw_text!A:A,raw_text!D:D,"")</f>
        <v>['migration']</v>
      </c>
    </row>
    <row r="64" spans="1:7" ht="16" x14ac:dyDescent="0.2">
      <c r="A64" s="6">
        <v>51</v>
      </c>
      <c r="B64" s="6" t="s">
        <v>630</v>
      </c>
      <c r="C64" s="6" t="s">
        <v>631</v>
      </c>
      <c r="D64" s="6" t="s">
        <v>509</v>
      </c>
      <c r="E64" s="6" t="s">
        <v>510</v>
      </c>
      <c r="F64" t="str">
        <f>_xlfn.XLOOKUP(D64,codebook!A:A,codebook!C:C,"")</f>
        <v>DT2</v>
      </c>
      <c r="G64" t="str">
        <f>_xlfn.XLOOKUP(A64,raw_text!A:A,raw_text!D:D,"")</f>
        <v>['added']</v>
      </c>
    </row>
    <row r="65" spans="1:7" ht="16" x14ac:dyDescent="0.2">
      <c r="A65" s="6">
        <v>52</v>
      </c>
      <c r="B65" s="6" t="s">
        <v>632</v>
      </c>
      <c r="C65" s="6" t="s">
        <v>633</v>
      </c>
      <c r="D65" s="6" t="s">
        <v>507</v>
      </c>
      <c r="E65" s="6" t="s">
        <v>508</v>
      </c>
      <c r="F65" t="str">
        <f>_xlfn.XLOOKUP(D65,codebook!A:A,codebook!C:C,"")</f>
        <v>DT6</v>
      </c>
      <c r="G65" t="str">
        <f>_xlfn.XLOOKUP(A65,raw_text!A:A,raw_text!D:D,"")</f>
        <v>['migration']</v>
      </c>
    </row>
    <row r="66" spans="1:7" ht="16" x14ac:dyDescent="0.2">
      <c r="A66" s="6">
        <v>53</v>
      </c>
      <c r="B66" s="6" t="s">
        <v>634</v>
      </c>
      <c r="C66" s="6" t="s">
        <v>635</v>
      </c>
      <c r="D66" s="6" t="s">
        <v>467</v>
      </c>
      <c r="E66" s="6" t="s">
        <v>719</v>
      </c>
      <c r="F66" t="str">
        <f>_xlfn.XLOOKUP(D66,codebook!A:A,codebook!C:C,"")</f>
        <v>DT2</v>
      </c>
      <c r="G66" t="str">
        <f>_xlfn.XLOOKUP(A66,raw_text!A:A,raw_text!D:D,"")</f>
        <v>['updated']</v>
      </c>
    </row>
    <row r="67" spans="1:7" ht="16" x14ac:dyDescent="0.2">
      <c r="A67" s="6">
        <v>54</v>
      </c>
      <c r="B67" s="6" t="s">
        <v>636</v>
      </c>
      <c r="C67" s="6" t="s">
        <v>637</v>
      </c>
      <c r="D67" s="6" t="s">
        <v>467</v>
      </c>
      <c r="E67" s="6" t="s">
        <v>719</v>
      </c>
      <c r="F67" t="str">
        <f>_xlfn.XLOOKUP(D67,codebook!A:A,codebook!C:C,"")</f>
        <v>DT2</v>
      </c>
      <c r="G67" t="str">
        <f>_xlfn.XLOOKUP(A67,raw_text!A:A,raw_text!D:D,"")</f>
        <v>['updated']</v>
      </c>
    </row>
    <row r="68" spans="1:7" ht="16" x14ac:dyDescent="0.2">
      <c r="A68" s="6">
        <v>55</v>
      </c>
      <c r="B68" s="6" t="s">
        <v>638</v>
      </c>
      <c r="C68" s="6" t="s">
        <v>639</v>
      </c>
      <c r="D68" s="6" t="s">
        <v>467</v>
      </c>
      <c r="E68" s="6" t="s">
        <v>719</v>
      </c>
      <c r="F68" t="str">
        <f>_xlfn.XLOOKUP(D68,codebook!A:A,codebook!C:C,"")</f>
        <v>DT2</v>
      </c>
      <c r="G68" t="str">
        <f>_xlfn.XLOOKUP(A68,raw_text!A:A,raw_text!D:D,"")</f>
        <v>['updated', 'updated', 'updated']</v>
      </c>
    </row>
    <row r="69" spans="1:7" ht="16" x14ac:dyDescent="0.2">
      <c r="A69" s="6">
        <v>56</v>
      </c>
      <c r="B69" s="6" t="s">
        <v>640</v>
      </c>
      <c r="C69" s="6" t="s">
        <v>641</v>
      </c>
      <c r="D69" s="6" t="s">
        <v>511</v>
      </c>
      <c r="E69" s="6" t="s">
        <v>512</v>
      </c>
      <c r="F69" t="str">
        <f>_xlfn.XLOOKUP(D69,codebook!A:A,codebook!C:C,"")</f>
        <v>DT2</v>
      </c>
      <c r="G69" t="str">
        <f>_xlfn.XLOOKUP(A69,raw_text!A:A,raw_text!D:D,"")</f>
        <v>['migration']</v>
      </c>
    </row>
    <row r="70" spans="1:7" ht="16" x14ac:dyDescent="0.2">
      <c r="A70" s="6">
        <v>57</v>
      </c>
      <c r="B70" s="6" t="s">
        <v>642</v>
      </c>
      <c r="C70" s="6" t="s">
        <v>643</v>
      </c>
      <c r="D70" s="6" t="s">
        <v>513</v>
      </c>
      <c r="E70" s="6" t="s">
        <v>514</v>
      </c>
      <c r="F70" t="str">
        <f>_xlfn.XLOOKUP(D70,codebook!A:A,codebook!C:C,"")</f>
        <v>DT1</v>
      </c>
      <c r="G70" t="str">
        <f>_xlfn.XLOOKUP(A70,raw_text!A:A,raw_text!D:D,"")</f>
        <v>['migration']</v>
      </c>
    </row>
    <row r="71" spans="1:7" ht="16" x14ac:dyDescent="0.2">
      <c r="A71" s="6">
        <v>58</v>
      </c>
      <c r="B71" s="6" t="s">
        <v>644</v>
      </c>
      <c r="C71" s="6" t="s">
        <v>645</v>
      </c>
      <c r="D71" s="6" t="s">
        <v>467</v>
      </c>
      <c r="E71" s="6" t="s">
        <v>719</v>
      </c>
      <c r="F71" t="str">
        <f>_xlfn.XLOOKUP(D71,codebook!A:A,codebook!C:C,"")</f>
        <v>DT2</v>
      </c>
      <c r="G71" t="str">
        <f>_xlfn.XLOOKUP(A71,raw_text!A:A,raw_text!D:D,"")</f>
        <v>['updated']</v>
      </c>
    </row>
    <row r="72" spans="1:7" ht="16" x14ac:dyDescent="0.2">
      <c r="A72" s="6">
        <v>59</v>
      </c>
      <c r="B72" s="6" t="s">
        <v>646</v>
      </c>
      <c r="C72" s="6" t="s">
        <v>647</v>
      </c>
      <c r="D72" s="6" t="s">
        <v>467</v>
      </c>
      <c r="E72" s="6" t="s">
        <v>719</v>
      </c>
      <c r="F72" t="str">
        <f>_xlfn.XLOOKUP(D72,codebook!A:A,codebook!C:C,"")</f>
        <v>DT2</v>
      </c>
      <c r="G72" t="str">
        <f>_xlfn.XLOOKUP(A72,raw_text!A:A,raw_text!D:D,"")</f>
        <v>['updated']</v>
      </c>
    </row>
    <row r="73" spans="1:7" ht="16" x14ac:dyDescent="0.2">
      <c r="A73" s="6">
        <v>60</v>
      </c>
      <c r="B73" s="6" t="s">
        <v>648</v>
      </c>
      <c r="C73" s="6" t="s">
        <v>649</v>
      </c>
      <c r="D73" s="6" t="s">
        <v>515</v>
      </c>
      <c r="E73" s="6" t="s">
        <v>516</v>
      </c>
      <c r="F73" t="str">
        <f>_xlfn.XLOOKUP(D73,codebook!A:A,codebook!C:C,"")</f>
        <v>DT2</v>
      </c>
      <c r="G73" t="str">
        <f>_xlfn.XLOOKUP(A73,raw_text!A:A,raw_text!D:D,"")</f>
        <v>['updated']</v>
      </c>
    </row>
    <row r="74" spans="1:7" ht="16" x14ac:dyDescent="0.2">
      <c r="A74" s="6">
        <v>60</v>
      </c>
      <c r="B74" s="6" t="s">
        <v>650</v>
      </c>
      <c r="C74" s="6" t="s">
        <v>651</v>
      </c>
      <c r="D74" s="6" t="s">
        <v>467</v>
      </c>
      <c r="E74" s="6" t="s">
        <v>719</v>
      </c>
      <c r="F74" t="str">
        <f>_xlfn.XLOOKUP(D74,codebook!A:A,codebook!C:C,"")</f>
        <v>DT2</v>
      </c>
      <c r="G74" t="str">
        <f>_xlfn.XLOOKUP(A74,raw_text!A:A,raw_text!D:D,"")</f>
        <v>['updated']</v>
      </c>
    </row>
    <row r="75" spans="1:7" ht="16" x14ac:dyDescent="0.2">
      <c r="A75" s="6">
        <v>61</v>
      </c>
      <c r="B75" s="6" t="s">
        <v>652</v>
      </c>
      <c r="C75" s="6" t="s">
        <v>653</v>
      </c>
      <c r="D75" s="6" t="s">
        <v>497</v>
      </c>
      <c r="E75" s="6" t="s">
        <v>498</v>
      </c>
      <c r="F75" t="str">
        <f>_xlfn.XLOOKUP(D75,codebook!A:A,codebook!C:C,"")</f>
        <v>DT2</v>
      </c>
      <c r="G75" t="str">
        <f>_xlfn.XLOOKUP(A75,raw_text!A:A,raw_text!D:D,"")</f>
        <v>['updated']</v>
      </c>
    </row>
    <row r="76" spans="1:7" ht="16" x14ac:dyDescent="0.2">
      <c r="A76" s="6">
        <v>62</v>
      </c>
      <c r="B76" s="6" t="s">
        <v>654</v>
      </c>
      <c r="C76" s="6" t="s">
        <v>655</v>
      </c>
      <c r="D76" s="6" t="s">
        <v>468</v>
      </c>
      <c r="E76" s="6" t="s">
        <v>721</v>
      </c>
      <c r="F76" t="str">
        <f>_xlfn.XLOOKUP(D76,codebook!A:A,codebook!C:C,"")</f>
        <v>DT3</v>
      </c>
      <c r="G76" t="str">
        <f>_xlfn.XLOOKUP(A76,raw_text!A:A,raw_text!D:D,"")</f>
        <v>['removed']</v>
      </c>
    </row>
    <row r="77" spans="1:7" ht="16" x14ac:dyDescent="0.2">
      <c r="A77" s="6">
        <v>63</v>
      </c>
      <c r="B77" s="6" t="s">
        <v>656</v>
      </c>
      <c r="C77" s="6" t="s">
        <v>657</v>
      </c>
      <c r="D77" s="6" t="s">
        <v>499</v>
      </c>
      <c r="E77" s="6" t="s">
        <v>500</v>
      </c>
      <c r="F77" t="str">
        <f>_xlfn.XLOOKUP(D77,codebook!A:A,codebook!C:C,"")</f>
        <v>DT2</v>
      </c>
      <c r="G77" t="str">
        <f>_xlfn.XLOOKUP(A77,raw_text!A:A,raw_text!D:D,"")</f>
        <v>['updated', 'updated', 'updated', 'updated']</v>
      </c>
    </row>
    <row r="78" spans="1:7" ht="16" x14ac:dyDescent="0.2">
      <c r="A78" s="6">
        <v>64</v>
      </c>
      <c r="B78" s="6" t="s">
        <v>658</v>
      </c>
      <c r="C78" s="6" t="s">
        <v>659</v>
      </c>
      <c r="D78" s="6" t="s">
        <v>499</v>
      </c>
      <c r="E78" s="6" t="s">
        <v>500</v>
      </c>
      <c r="F78" t="str">
        <f>_xlfn.XLOOKUP(D78,codebook!A:A,codebook!C:C,"")</f>
        <v>DT2</v>
      </c>
      <c r="G78" t="str">
        <f>_xlfn.XLOOKUP(A78,raw_text!A:A,raw_text!D:D,"")</f>
        <v>['updated']</v>
      </c>
    </row>
    <row r="79" spans="1:7" ht="16" x14ac:dyDescent="0.2">
      <c r="A79" s="6">
        <v>65</v>
      </c>
      <c r="B79" s="6" t="s">
        <v>660</v>
      </c>
      <c r="C79" s="6" t="s">
        <v>661</v>
      </c>
      <c r="D79" s="6" t="s">
        <v>480</v>
      </c>
      <c r="E79" s="6" t="s">
        <v>481</v>
      </c>
      <c r="F79" t="str">
        <f>_xlfn.XLOOKUP(D79,codebook!A:A,codebook!C:C,"")</f>
        <v>DT5</v>
      </c>
      <c r="G79" t="str">
        <f>_xlfn.XLOOKUP(A79,raw_text!A:A,raw_text!D:D,"")</f>
        <v>['migration']</v>
      </c>
    </row>
    <row r="80" spans="1:7" ht="16" x14ac:dyDescent="0.2">
      <c r="A80" s="6">
        <v>66</v>
      </c>
      <c r="B80" s="6" t="s">
        <v>662</v>
      </c>
      <c r="C80" s="6" t="s">
        <v>661</v>
      </c>
      <c r="D80" s="6" t="s">
        <v>480</v>
      </c>
      <c r="E80" s="6" t="s">
        <v>481</v>
      </c>
      <c r="F80" t="str">
        <f>_xlfn.XLOOKUP(D80,codebook!A:A,codebook!C:C,"")</f>
        <v>DT5</v>
      </c>
      <c r="G80" t="str">
        <f>_xlfn.XLOOKUP(A80,raw_text!A:A,raw_text!D:D,"")</f>
        <v>['migration']</v>
      </c>
    </row>
    <row r="81" spans="1:7" ht="16" x14ac:dyDescent="0.2">
      <c r="A81" s="6">
        <v>67</v>
      </c>
      <c r="B81" s="6" t="s">
        <v>663</v>
      </c>
      <c r="C81" s="6" t="s">
        <v>664</v>
      </c>
      <c r="D81" s="6" t="s">
        <v>480</v>
      </c>
      <c r="E81" s="6" t="s">
        <v>481</v>
      </c>
      <c r="F81" t="str">
        <f>_xlfn.XLOOKUP(D81,codebook!A:A,codebook!C:C,"")</f>
        <v>DT5</v>
      </c>
      <c r="G81" t="str">
        <f>_xlfn.XLOOKUP(A81,raw_text!A:A,raw_text!D:D,"")</f>
        <v>['migration']</v>
      </c>
    </row>
    <row r="82" spans="1:7" ht="16" x14ac:dyDescent="0.2">
      <c r="A82" s="6">
        <v>68</v>
      </c>
      <c r="B82" s="6" t="s">
        <v>665</v>
      </c>
      <c r="C82" s="6" t="s">
        <v>664</v>
      </c>
      <c r="D82" s="6" t="s">
        <v>480</v>
      </c>
      <c r="E82" s="6" t="s">
        <v>481</v>
      </c>
      <c r="F82" t="str">
        <f>_xlfn.XLOOKUP(D82,codebook!A:A,codebook!C:C,"")</f>
        <v>DT5</v>
      </c>
      <c r="G82" t="str">
        <f>_xlfn.XLOOKUP(A82,raw_text!A:A,raw_text!D:D,"")</f>
        <v>['migration', 'migration']</v>
      </c>
    </row>
    <row r="83" spans="1:7" ht="16" x14ac:dyDescent="0.2">
      <c r="A83" s="6">
        <v>69</v>
      </c>
      <c r="B83" s="6" t="s">
        <v>666</v>
      </c>
      <c r="C83" s="6" t="s">
        <v>664</v>
      </c>
      <c r="D83" s="6" t="s">
        <v>480</v>
      </c>
      <c r="E83" s="6" t="s">
        <v>481</v>
      </c>
      <c r="F83" t="str">
        <f>_xlfn.XLOOKUP(D83,codebook!A:A,codebook!C:C,"")</f>
        <v>DT5</v>
      </c>
      <c r="G83" t="str">
        <f>_xlfn.XLOOKUP(A83,raw_text!A:A,raw_text!D:D,"")</f>
        <v>['migration']</v>
      </c>
    </row>
    <row r="84" spans="1:7" ht="16" x14ac:dyDescent="0.2">
      <c r="A84" s="6">
        <v>70</v>
      </c>
      <c r="B84" s="6" t="s">
        <v>667</v>
      </c>
      <c r="C84" s="6" t="s">
        <v>664</v>
      </c>
      <c r="D84" s="6" t="s">
        <v>480</v>
      </c>
      <c r="E84" s="6" t="s">
        <v>481</v>
      </c>
      <c r="F84" t="str">
        <f>_xlfn.XLOOKUP(D84,codebook!A:A,codebook!C:C,"")</f>
        <v>DT5</v>
      </c>
      <c r="G84" t="str">
        <f>_xlfn.XLOOKUP(A84,raw_text!A:A,raw_text!D:D,"")</f>
        <v>['migration', 'migration']</v>
      </c>
    </row>
    <row r="85" spans="1:7" ht="16" x14ac:dyDescent="0.2">
      <c r="A85" s="6">
        <v>71</v>
      </c>
      <c r="B85" s="6" t="s">
        <v>668</v>
      </c>
      <c r="C85" s="6" t="s">
        <v>669</v>
      </c>
      <c r="D85" s="6" t="s">
        <v>515</v>
      </c>
      <c r="E85" s="6" t="s">
        <v>516</v>
      </c>
      <c r="F85" t="str">
        <f>_xlfn.XLOOKUP(D85,codebook!A:A,codebook!C:C,"")</f>
        <v>DT2</v>
      </c>
      <c r="G85" t="str">
        <f>_xlfn.XLOOKUP(A85,raw_text!A:A,raw_text!D:D,"")</f>
        <v>['updated']</v>
      </c>
    </row>
    <row r="86" spans="1:7" ht="16" x14ac:dyDescent="0.2">
      <c r="A86" s="6">
        <v>72</v>
      </c>
      <c r="B86" s="6" t="s">
        <v>670</v>
      </c>
      <c r="C86" s="6" t="s">
        <v>671</v>
      </c>
      <c r="D86" s="6" t="s">
        <v>515</v>
      </c>
      <c r="E86" s="6" t="s">
        <v>516</v>
      </c>
      <c r="F86" t="str">
        <f>_xlfn.XLOOKUP(D86,codebook!A:A,codebook!C:C,"")</f>
        <v>DT2</v>
      </c>
      <c r="G86" t="str">
        <f>_xlfn.XLOOKUP(A86,raw_text!A:A,raw_text!D:D,"")</f>
        <v>['updated']</v>
      </c>
    </row>
    <row r="87" spans="1:7" ht="16" x14ac:dyDescent="0.2">
      <c r="A87" s="6">
        <v>73</v>
      </c>
      <c r="B87" s="6" t="s">
        <v>672</v>
      </c>
      <c r="C87" s="6" t="s">
        <v>673</v>
      </c>
      <c r="D87" s="6" t="s">
        <v>517</v>
      </c>
      <c r="E87" s="6" t="s">
        <v>518</v>
      </c>
      <c r="F87" t="str">
        <f>_xlfn.XLOOKUP(D87,codebook!A:A,codebook!C:C,"")</f>
        <v>DT3</v>
      </c>
      <c r="G87" t="str">
        <f>_xlfn.XLOOKUP(A87,raw_text!A:A,raw_text!D:D,"")</f>
        <v>['added']</v>
      </c>
    </row>
    <row r="88" spans="1:7" ht="16" x14ac:dyDescent="0.2">
      <c r="A88" s="6">
        <v>73</v>
      </c>
      <c r="B88" s="6" t="s">
        <v>674</v>
      </c>
      <c r="C88" s="6" t="s">
        <v>675</v>
      </c>
      <c r="D88" s="6" t="s">
        <v>519</v>
      </c>
      <c r="E88" s="6" t="s">
        <v>520</v>
      </c>
      <c r="F88" t="str">
        <f>_xlfn.XLOOKUP(D88,codebook!A:A,codebook!C:C,"")</f>
        <v>DT3</v>
      </c>
      <c r="G88" t="str">
        <f>_xlfn.XLOOKUP(A88,raw_text!A:A,raw_text!D:D,"")</f>
        <v>['added']</v>
      </c>
    </row>
    <row r="89" spans="1:7" ht="16" x14ac:dyDescent="0.2">
      <c r="A89" s="6">
        <v>73</v>
      </c>
      <c r="B89" s="6" t="s">
        <v>676</v>
      </c>
      <c r="C89" s="6" t="s">
        <v>677</v>
      </c>
      <c r="D89" s="6" t="s">
        <v>519</v>
      </c>
      <c r="E89" s="6" t="s">
        <v>520</v>
      </c>
      <c r="F89" t="str">
        <f>_xlfn.XLOOKUP(D89,codebook!A:A,codebook!C:C,"")</f>
        <v>DT3</v>
      </c>
      <c r="G89" t="str">
        <f>_xlfn.XLOOKUP(A89,raw_text!A:A,raw_text!D:D,"")</f>
        <v>['added']</v>
      </c>
    </row>
    <row r="90" spans="1:7" ht="16" x14ac:dyDescent="0.2">
      <c r="A90" s="6">
        <v>74</v>
      </c>
      <c r="B90" s="6" t="s">
        <v>678</v>
      </c>
      <c r="C90" s="6" t="s">
        <v>679</v>
      </c>
      <c r="D90" s="6" t="s">
        <v>474</v>
      </c>
      <c r="E90" s="6" t="s">
        <v>475</v>
      </c>
      <c r="F90" t="str">
        <f>_xlfn.XLOOKUP(D90,codebook!A:A,codebook!C:C,"")</f>
        <v>DT5</v>
      </c>
      <c r="G90" t="str">
        <f>_xlfn.XLOOKUP(A90,raw_text!A:A,raw_text!D:D,"")</f>
        <v>['migration']</v>
      </c>
    </row>
    <row r="91" spans="1:7" ht="16" x14ac:dyDescent="0.2">
      <c r="A91" s="6">
        <v>74</v>
      </c>
      <c r="B91" s="6" t="s">
        <v>680</v>
      </c>
      <c r="C91" s="6" t="s">
        <v>681</v>
      </c>
      <c r="D91" s="6" t="s">
        <v>474</v>
      </c>
      <c r="E91" s="6" t="s">
        <v>475</v>
      </c>
      <c r="F91" t="str">
        <f>_xlfn.XLOOKUP(D91,codebook!A:A,codebook!C:C,"")</f>
        <v>DT5</v>
      </c>
      <c r="G91" t="str">
        <f>_xlfn.XLOOKUP(A91,raw_text!A:A,raw_text!D:D,"")</f>
        <v>['migration']</v>
      </c>
    </row>
    <row r="92" spans="1:7" ht="16" x14ac:dyDescent="0.2">
      <c r="A92" s="6">
        <v>75</v>
      </c>
      <c r="B92" s="6" t="s">
        <v>682</v>
      </c>
      <c r="C92" s="6" t="s">
        <v>683</v>
      </c>
      <c r="D92" s="6" t="s">
        <v>467</v>
      </c>
      <c r="E92" s="6" t="s">
        <v>719</v>
      </c>
      <c r="F92" t="str">
        <f>_xlfn.XLOOKUP(D92,codebook!A:A,codebook!C:C,"")</f>
        <v>DT2</v>
      </c>
      <c r="G92" t="str">
        <f>_xlfn.XLOOKUP(A92,raw_text!A:A,raw_text!D:D,"")</f>
        <v>['updated']</v>
      </c>
    </row>
    <row r="93" spans="1:7" ht="16" x14ac:dyDescent="0.2">
      <c r="A93" s="6">
        <v>75</v>
      </c>
      <c r="B93" s="6" t="s">
        <v>684</v>
      </c>
      <c r="C93" s="6" t="s">
        <v>685</v>
      </c>
      <c r="D93" s="6" t="s">
        <v>484</v>
      </c>
      <c r="E93" s="6" t="s">
        <v>485</v>
      </c>
      <c r="F93" t="str">
        <f>_xlfn.XLOOKUP(D93,codebook!A:A,codebook!C:C,"")</f>
        <v>DT2</v>
      </c>
      <c r="G93" t="str">
        <f>_xlfn.XLOOKUP(A93,raw_text!A:A,raw_text!D:D,"")</f>
        <v>['updated']</v>
      </c>
    </row>
    <row r="94" spans="1:7" ht="16" x14ac:dyDescent="0.2">
      <c r="A94" s="6">
        <v>75</v>
      </c>
      <c r="B94" s="6" t="s">
        <v>686</v>
      </c>
      <c r="C94" s="6" t="s">
        <v>687</v>
      </c>
      <c r="D94" s="6" t="s">
        <v>505</v>
      </c>
      <c r="E94" s="6" t="s">
        <v>506</v>
      </c>
      <c r="F94" t="str">
        <f>_xlfn.XLOOKUP(D94,codebook!A:A,codebook!C:C,"")</f>
        <v>DT4</v>
      </c>
      <c r="G94" t="str">
        <f>_xlfn.XLOOKUP(A94,raw_text!A:A,raw_text!D:D,"")</f>
        <v>['updated']</v>
      </c>
    </row>
  </sheetData>
  <autoFilter ref="D1:F94" xr:uid="{B5FC228E-A7E9-4C49-814F-0615D366B440}"/>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7C52D-D9ED-8843-9D18-24343B38B457}">
  <dimension ref="A1:D34"/>
  <sheetViews>
    <sheetView workbookViewId="0">
      <selection activeCell="F34" sqref="F34"/>
    </sheetView>
  </sheetViews>
  <sheetFormatPr baseColWidth="10" defaultRowHeight="15" x14ac:dyDescent="0.2"/>
  <cols>
    <col min="2" max="2" width="49" bestFit="1" customWidth="1"/>
    <col min="3" max="3" width="18" bestFit="1" customWidth="1"/>
  </cols>
  <sheetData>
    <row r="1" spans="1:4" x14ac:dyDescent="0.2">
      <c r="A1" s="8" t="s">
        <v>5</v>
      </c>
      <c r="B1" s="8" t="s">
        <v>462</v>
      </c>
      <c r="C1" s="8" t="s">
        <v>702</v>
      </c>
      <c r="D1" s="8" t="s">
        <v>703</v>
      </c>
    </row>
    <row r="2" spans="1:4" x14ac:dyDescent="0.2">
      <c r="A2" t="s">
        <v>463</v>
      </c>
      <c r="B2" t="s">
        <v>411</v>
      </c>
      <c r="C2" t="s">
        <v>704</v>
      </c>
      <c r="D2" t="s">
        <v>690</v>
      </c>
    </row>
    <row r="3" spans="1:4" x14ac:dyDescent="0.2">
      <c r="A3" t="s">
        <v>464</v>
      </c>
      <c r="B3" t="s">
        <v>412</v>
      </c>
      <c r="C3" t="s">
        <v>705</v>
      </c>
      <c r="D3" t="s">
        <v>692</v>
      </c>
    </row>
    <row r="4" spans="1:4" x14ac:dyDescent="0.2">
      <c r="A4" t="s">
        <v>465</v>
      </c>
      <c r="B4" t="s">
        <v>413</v>
      </c>
      <c r="C4" t="s">
        <v>706</v>
      </c>
      <c r="D4" t="s">
        <v>698</v>
      </c>
    </row>
    <row r="5" spans="1:4" x14ac:dyDescent="0.2">
      <c r="A5" t="s">
        <v>466</v>
      </c>
      <c r="B5" t="s">
        <v>414</v>
      </c>
      <c r="C5" t="s">
        <v>707</v>
      </c>
      <c r="D5" t="s">
        <v>696</v>
      </c>
    </row>
    <row r="6" spans="1:4" x14ac:dyDescent="0.2">
      <c r="A6" t="s">
        <v>467</v>
      </c>
      <c r="B6" t="s">
        <v>719</v>
      </c>
      <c r="C6" t="s">
        <v>705</v>
      </c>
      <c r="D6" t="s">
        <v>692</v>
      </c>
    </row>
    <row r="7" spans="1:4" x14ac:dyDescent="0.2">
      <c r="A7" t="s">
        <v>468</v>
      </c>
      <c r="B7" t="s">
        <v>721</v>
      </c>
      <c r="C7" t="s">
        <v>708</v>
      </c>
      <c r="D7" t="s">
        <v>694</v>
      </c>
    </row>
    <row r="8" spans="1:4" x14ac:dyDescent="0.2">
      <c r="A8" t="s">
        <v>469</v>
      </c>
      <c r="B8" t="s">
        <v>720</v>
      </c>
      <c r="C8" t="s">
        <v>705</v>
      </c>
      <c r="D8" t="s">
        <v>692</v>
      </c>
    </row>
    <row r="9" spans="1:4" x14ac:dyDescent="0.2">
      <c r="A9" t="s">
        <v>470</v>
      </c>
      <c r="B9" t="s">
        <v>471</v>
      </c>
      <c r="C9" t="s">
        <v>704</v>
      </c>
      <c r="D9" t="s">
        <v>690</v>
      </c>
    </row>
    <row r="10" spans="1:4" x14ac:dyDescent="0.2">
      <c r="A10" t="s">
        <v>472</v>
      </c>
      <c r="B10" t="s">
        <v>473</v>
      </c>
      <c r="C10" t="s">
        <v>704</v>
      </c>
      <c r="D10" t="s">
        <v>690</v>
      </c>
    </row>
    <row r="11" spans="1:4" x14ac:dyDescent="0.2">
      <c r="A11" t="s">
        <v>474</v>
      </c>
      <c r="B11" t="s">
        <v>475</v>
      </c>
      <c r="C11" t="s">
        <v>706</v>
      </c>
      <c r="D11" t="s">
        <v>698</v>
      </c>
    </row>
    <row r="12" spans="1:4" x14ac:dyDescent="0.2">
      <c r="A12" t="s">
        <v>476</v>
      </c>
      <c r="B12" t="s">
        <v>477</v>
      </c>
      <c r="C12" t="s">
        <v>706</v>
      </c>
      <c r="D12" t="s">
        <v>698</v>
      </c>
    </row>
    <row r="13" spans="1:4" x14ac:dyDescent="0.2">
      <c r="A13" t="s">
        <v>478</v>
      </c>
      <c r="B13" t="s">
        <v>479</v>
      </c>
      <c r="C13" t="s">
        <v>706</v>
      </c>
      <c r="D13" t="s">
        <v>698</v>
      </c>
    </row>
    <row r="14" spans="1:4" x14ac:dyDescent="0.2">
      <c r="A14" t="s">
        <v>480</v>
      </c>
      <c r="B14" t="s">
        <v>481</v>
      </c>
      <c r="C14" t="s">
        <v>706</v>
      </c>
      <c r="D14" t="s">
        <v>698</v>
      </c>
    </row>
    <row r="15" spans="1:4" x14ac:dyDescent="0.2">
      <c r="A15" t="s">
        <v>482</v>
      </c>
      <c r="B15" t="s">
        <v>483</v>
      </c>
      <c r="C15" t="s">
        <v>706</v>
      </c>
      <c r="D15" t="s">
        <v>698</v>
      </c>
    </row>
    <row r="16" spans="1:4" x14ac:dyDescent="0.2">
      <c r="A16" t="s">
        <v>484</v>
      </c>
      <c r="B16" t="s">
        <v>485</v>
      </c>
      <c r="C16" t="s">
        <v>705</v>
      </c>
      <c r="D16" t="s">
        <v>698</v>
      </c>
    </row>
    <row r="17" spans="1:4" x14ac:dyDescent="0.2">
      <c r="A17" t="s">
        <v>486</v>
      </c>
      <c r="B17" t="s">
        <v>487</v>
      </c>
      <c r="C17" t="s">
        <v>704</v>
      </c>
      <c r="D17" t="s">
        <v>690</v>
      </c>
    </row>
    <row r="18" spans="1:4" x14ac:dyDescent="0.2">
      <c r="A18" t="s">
        <v>488</v>
      </c>
      <c r="B18" t="s">
        <v>489</v>
      </c>
      <c r="C18" t="s">
        <v>705</v>
      </c>
      <c r="D18" t="s">
        <v>692</v>
      </c>
    </row>
    <row r="19" spans="1:4" x14ac:dyDescent="0.2">
      <c r="A19" t="s">
        <v>490</v>
      </c>
      <c r="B19" t="s">
        <v>491</v>
      </c>
      <c r="C19" t="s">
        <v>709</v>
      </c>
      <c r="D19" t="s">
        <v>700</v>
      </c>
    </row>
    <row r="20" spans="1:4" x14ac:dyDescent="0.2">
      <c r="A20" t="s">
        <v>492</v>
      </c>
      <c r="B20" t="s">
        <v>493</v>
      </c>
      <c r="C20" t="s">
        <v>709</v>
      </c>
      <c r="D20" t="s">
        <v>700</v>
      </c>
    </row>
    <row r="21" spans="1:4" x14ac:dyDescent="0.2">
      <c r="A21" t="s">
        <v>494</v>
      </c>
      <c r="B21" t="s">
        <v>718</v>
      </c>
      <c r="C21" t="s">
        <v>705</v>
      </c>
      <c r="D21" t="s">
        <v>692</v>
      </c>
    </row>
    <row r="22" spans="1:4" x14ac:dyDescent="0.2">
      <c r="A22" t="s">
        <v>495</v>
      </c>
      <c r="B22" t="s">
        <v>496</v>
      </c>
      <c r="C22" t="s">
        <v>705</v>
      </c>
      <c r="D22" t="s">
        <v>692</v>
      </c>
    </row>
    <row r="23" spans="1:4" x14ac:dyDescent="0.2">
      <c r="A23" t="s">
        <v>497</v>
      </c>
      <c r="B23" t="s">
        <v>498</v>
      </c>
      <c r="C23" t="s">
        <v>705</v>
      </c>
      <c r="D23" t="s">
        <v>692</v>
      </c>
    </row>
    <row r="24" spans="1:4" x14ac:dyDescent="0.2">
      <c r="A24" t="s">
        <v>499</v>
      </c>
      <c r="B24" t="s">
        <v>500</v>
      </c>
      <c r="C24" t="s">
        <v>705</v>
      </c>
      <c r="D24" t="s">
        <v>692</v>
      </c>
    </row>
    <row r="25" spans="1:4" x14ac:dyDescent="0.2">
      <c r="A25" t="s">
        <v>501</v>
      </c>
      <c r="B25" t="s">
        <v>502</v>
      </c>
      <c r="C25" t="s">
        <v>708</v>
      </c>
      <c r="D25" t="s">
        <v>694</v>
      </c>
    </row>
    <row r="26" spans="1:4" x14ac:dyDescent="0.2">
      <c r="A26" t="s">
        <v>503</v>
      </c>
      <c r="B26" t="s">
        <v>504</v>
      </c>
      <c r="C26" t="s">
        <v>708</v>
      </c>
      <c r="D26" t="s">
        <v>694</v>
      </c>
    </row>
    <row r="27" spans="1:4" x14ac:dyDescent="0.2">
      <c r="A27" t="s">
        <v>505</v>
      </c>
      <c r="B27" t="s">
        <v>506</v>
      </c>
      <c r="C27" t="s">
        <v>707</v>
      </c>
      <c r="D27" t="s">
        <v>696</v>
      </c>
    </row>
    <row r="28" spans="1:4" x14ac:dyDescent="0.2">
      <c r="A28" t="s">
        <v>507</v>
      </c>
      <c r="B28" t="s">
        <v>508</v>
      </c>
      <c r="C28" t="s">
        <v>709</v>
      </c>
      <c r="D28" t="s">
        <v>700</v>
      </c>
    </row>
    <row r="29" spans="1:4" x14ac:dyDescent="0.2">
      <c r="A29" t="s">
        <v>509</v>
      </c>
      <c r="B29" t="s">
        <v>510</v>
      </c>
      <c r="C29" t="s">
        <v>705</v>
      </c>
      <c r="D29" t="s">
        <v>692</v>
      </c>
    </row>
    <row r="30" spans="1:4" x14ac:dyDescent="0.2">
      <c r="A30" t="s">
        <v>511</v>
      </c>
      <c r="B30" t="s">
        <v>512</v>
      </c>
      <c r="C30" t="s">
        <v>705</v>
      </c>
      <c r="D30" t="s">
        <v>692</v>
      </c>
    </row>
    <row r="31" spans="1:4" x14ac:dyDescent="0.2">
      <c r="A31" t="s">
        <v>513</v>
      </c>
      <c r="B31" t="s">
        <v>514</v>
      </c>
      <c r="C31" t="s">
        <v>704</v>
      </c>
      <c r="D31" t="s">
        <v>690</v>
      </c>
    </row>
    <row r="32" spans="1:4" x14ac:dyDescent="0.2">
      <c r="A32" t="s">
        <v>515</v>
      </c>
      <c r="B32" t="s">
        <v>516</v>
      </c>
      <c r="C32" t="s">
        <v>705</v>
      </c>
      <c r="D32" t="s">
        <v>698</v>
      </c>
    </row>
    <row r="33" spans="1:4" x14ac:dyDescent="0.2">
      <c r="A33" t="s">
        <v>517</v>
      </c>
      <c r="B33" t="s">
        <v>518</v>
      </c>
      <c r="C33" t="s">
        <v>708</v>
      </c>
      <c r="D33" t="s">
        <v>694</v>
      </c>
    </row>
    <row r="34" spans="1:4" x14ac:dyDescent="0.2">
      <c r="A34" t="s">
        <v>519</v>
      </c>
      <c r="B34" t="s">
        <v>520</v>
      </c>
      <c r="C34" t="s">
        <v>708</v>
      </c>
      <c r="D34" t="s">
        <v>694</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93ED7-048C-BA41-BEA9-8D3F5A3C13A1}">
  <dimension ref="A1:I7"/>
  <sheetViews>
    <sheetView zoomScale="130" zoomScaleNormal="130" workbookViewId="0">
      <selection activeCell="F6" sqref="F6:H6"/>
    </sheetView>
  </sheetViews>
  <sheetFormatPr baseColWidth="10" defaultRowHeight="15" x14ac:dyDescent="0.2"/>
  <cols>
    <col min="2" max="2" width="33.6640625" bestFit="1" customWidth="1"/>
    <col min="3" max="3" width="92.5" bestFit="1" customWidth="1"/>
  </cols>
  <sheetData>
    <row r="1" spans="1:9" x14ac:dyDescent="0.2">
      <c r="A1" s="8" t="s">
        <v>521</v>
      </c>
      <c r="B1" s="8" t="s">
        <v>688</v>
      </c>
      <c r="C1" s="8" t="s">
        <v>689</v>
      </c>
      <c r="D1" s="8" t="s">
        <v>711</v>
      </c>
      <c r="E1" s="8" t="s">
        <v>712</v>
      </c>
      <c r="F1" s="8" t="s">
        <v>713</v>
      </c>
      <c r="G1" s="8" t="s">
        <v>714</v>
      </c>
      <c r="H1" s="8" t="s">
        <v>715</v>
      </c>
      <c r="I1" s="8" t="s">
        <v>716</v>
      </c>
    </row>
    <row r="2" spans="1:9" x14ac:dyDescent="0.2">
      <c r="A2" t="s">
        <v>704</v>
      </c>
      <c r="B2" t="s">
        <v>690</v>
      </c>
      <c r="C2" t="s">
        <v>691</v>
      </c>
      <c r="D2">
        <f>COUNTIF(coding!F:F,A2)</f>
        <v>14</v>
      </c>
      <c r="E2" cm="1">
        <f t="array" ref="E2">COUNTA(_xlfn.UNIQUE(_xlfn._xlws.FILTER(coding!A:A,coding!F:F=A2)))</f>
        <v>13</v>
      </c>
      <c r="F2" cm="1">
        <f t="array" ref="F2">COUNTA(_xlfn.UNIQUE(_xlfn._xlws.FILTER(coding!A:A,(coding!F:F=A2)*(ISNUMBER(SEARCH("added",coding!G:G))))))</f>
        <v>7</v>
      </c>
      <c r="G2">
        <v>0</v>
      </c>
      <c r="H2" cm="1">
        <f t="array" ref="H2">COUNTA(_xlfn.UNIQUE(_xlfn._xlws.FILTER(coding!A:A,(coding!F:F=A2)*(ISNUMBER(SEARCH("migration",coding!G:G))))))</f>
        <v>4</v>
      </c>
      <c r="I2" cm="1">
        <f t="array" ref="I2">COUNTA(_xlfn.UNIQUE(_xlfn._xlws.FILTER(coding!A:A,(coding!F:F=A2)*(ISNUMBER(SEARCH("updated",coding!G:G))))))</f>
        <v>2</v>
      </c>
    </row>
    <row r="3" spans="1:9" x14ac:dyDescent="0.2">
      <c r="A3" t="s">
        <v>705</v>
      </c>
      <c r="B3" t="s">
        <v>692</v>
      </c>
      <c r="C3" t="s">
        <v>693</v>
      </c>
      <c r="D3">
        <f>COUNTIF(coding!F:F,A3)</f>
        <v>42</v>
      </c>
      <c r="E3" cm="1">
        <f t="array" ref="E3">COUNTA(_xlfn.UNIQUE(_xlfn._xlws.FILTER(coding!A:A,coding!F:F=A3)))</f>
        <v>37</v>
      </c>
      <c r="F3" cm="1">
        <f t="array" ref="F3">COUNTA(_xlfn.UNIQUE(_xlfn._xlws.FILTER(coding!A:A,(coding!F:F=A3)*(ISNUMBER(SEARCH("added",coding!G:G))))))</f>
        <v>7</v>
      </c>
      <c r="G3" cm="1">
        <f t="array" ref="G3">COUNTA(_xlfn.UNIQUE(_xlfn._xlws.FILTER(coding!A:A,(coding!F:F=A3)*(ISNUMBER(SEARCH("removed",coding!G:G))))))</f>
        <v>1</v>
      </c>
      <c r="H3" cm="1">
        <f t="array" ref="H3">COUNTA(_xlfn.UNIQUE(_xlfn._xlws.FILTER(coding!A:A,(coding!F:F=A3)*(ISNUMBER(SEARCH("migration",coding!G:G))))))</f>
        <v>7</v>
      </c>
      <c r="I3" cm="1">
        <f t="array" ref="I3">COUNTA(_xlfn.UNIQUE(_xlfn._xlws.FILTER(coding!A:A,(coding!F:F=A3)*(ISNUMBER(SEARCH("updated",coding!G:G))))))</f>
        <v>22</v>
      </c>
    </row>
    <row r="4" spans="1:9" x14ac:dyDescent="0.2">
      <c r="A4" t="s">
        <v>708</v>
      </c>
      <c r="B4" t="s">
        <v>694</v>
      </c>
      <c r="C4" t="s">
        <v>695</v>
      </c>
      <c r="D4">
        <f>COUNTIF(coding!F:F,A4)</f>
        <v>9</v>
      </c>
      <c r="E4" cm="1">
        <f t="array" ref="E4">COUNTA(_xlfn.UNIQUE(_xlfn._xlws.FILTER(coding!A:A,coding!F:F=A4)))</f>
        <v>6</v>
      </c>
      <c r="F4" cm="1">
        <f t="array" ref="F4">COUNTA(_xlfn.UNIQUE(_xlfn._xlws.FILTER(coding!A:A,(coding!F:F=A4)*(ISNUMBER(SEARCH("added",coding!G:G))))))</f>
        <v>1</v>
      </c>
      <c r="G4" cm="1">
        <f t="array" ref="G4">COUNTA(_xlfn.UNIQUE(_xlfn._xlws.FILTER(coding!A:A,(coding!F:F=A4)*(ISNUMBER(SEARCH("removed",coding!G:G))))))</f>
        <v>4</v>
      </c>
      <c r="H4" cm="1">
        <f t="array" ref="H4">COUNTA(_xlfn.UNIQUE(_xlfn._xlws.FILTER(coding!A:A,(coding!F:F=A4)*(ISNUMBER(SEARCH("migration",coding!G:G))))))</f>
        <v>1</v>
      </c>
      <c r="I4">
        <v>0</v>
      </c>
    </row>
    <row r="5" spans="1:9" x14ac:dyDescent="0.2">
      <c r="A5" t="s">
        <v>707</v>
      </c>
      <c r="B5" t="s">
        <v>696</v>
      </c>
      <c r="C5" t="s">
        <v>697</v>
      </c>
      <c r="D5">
        <f>COUNTIF(coding!F:F,A5)</f>
        <v>5</v>
      </c>
      <c r="E5" cm="1">
        <f t="array" ref="E5">COUNTA(_xlfn.UNIQUE(_xlfn._xlws.FILTER(coding!A:A,coding!F:F=A5)))</f>
        <v>5</v>
      </c>
      <c r="F5" cm="1">
        <f t="array" ref="F5">COUNTA(_xlfn.UNIQUE(_xlfn._xlws.FILTER(coding!A:A,(coding!F:F=A5)*(ISNUMBER(SEARCH("added",coding!G:G))))))</f>
        <v>1</v>
      </c>
      <c r="G5" cm="1">
        <f t="array" ref="G5">COUNTA(_xlfn.UNIQUE(_xlfn._xlws.FILTER(coding!A:A,(coding!F:F=A5)*(ISNUMBER(SEARCH("removed",coding!G:G))))))</f>
        <v>2</v>
      </c>
      <c r="H5" cm="1">
        <f t="array" ref="H5">COUNTA(_xlfn.UNIQUE(_xlfn._xlws.FILTER(coding!A:A,(coding!F:F=A5)*(ISNUMBER(SEARCH("migration",coding!G:G))))))</f>
        <v>1</v>
      </c>
      <c r="I5" cm="1">
        <f t="array" ref="I5">COUNTA(_xlfn.UNIQUE(_xlfn._xlws.FILTER(coding!A:A,(coding!F:F=A5)*(ISNUMBER(SEARCH("updated",coding!G:G))))))</f>
        <v>1</v>
      </c>
    </row>
    <row r="6" spans="1:9" x14ac:dyDescent="0.2">
      <c r="A6" t="s">
        <v>706</v>
      </c>
      <c r="B6" t="s">
        <v>698</v>
      </c>
      <c r="C6" t="s">
        <v>699</v>
      </c>
      <c r="D6">
        <f>COUNTIF(coding!F:F,A6)</f>
        <v>19</v>
      </c>
      <c r="E6" cm="1">
        <f t="array" ref="E6">COUNTA(_xlfn.UNIQUE(_xlfn._xlws.FILTER(coding!A:A,coding!F:F=A6)))</f>
        <v>17</v>
      </c>
      <c r="F6" cm="1">
        <f t="array" ref="F6">COUNTA(_xlfn.UNIQUE(_xlfn._xlws.FILTER(coding!A:A,(coding!F:F=A6)*(ISNUMBER(SEARCH("added",coding!G:G))))))</f>
        <v>1</v>
      </c>
      <c r="G6" cm="1">
        <f t="array" ref="G6">COUNTA(_xlfn.UNIQUE(_xlfn._xlws.FILTER(coding!A:A,(coding!F:F=A6)*(ISNUMBER(SEARCH("removed",coding!G:G))))))</f>
        <v>4</v>
      </c>
      <c r="H6" cm="1">
        <f t="array" ref="H6">COUNTA(_xlfn.UNIQUE(_xlfn._xlws.FILTER(coding!A:A,(coding!F:F=A6)*(ISNUMBER(SEARCH("migration",coding!G:G))))))</f>
        <v>12</v>
      </c>
      <c r="I6">
        <v>0</v>
      </c>
    </row>
    <row r="7" spans="1:9" x14ac:dyDescent="0.2">
      <c r="A7" t="s">
        <v>709</v>
      </c>
      <c r="B7" t="s">
        <v>700</v>
      </c>
      <c r="C7" t="s">
        <v>701</v>
      </c>
      <c r="D7">
        <f>COUNTIF(coding!F:F,A7)</f>
        <v>4</v>
      </c>
      <c r="E7" cm="1">
        <f t="array" ref="E7">COUNTA(_xlfn.UNIQUE(_xlfn._xlws.FILTER(coding!A:A,coding!F:F=A7)))</f>
        <v>3</v>
      </c>
      <c r="F7">
        <v>0</v>
      </c>
      <c r="G7">
        <v>0</v>
      </c>
      <c r="H7" cm="1">
        <f t="array" ref="H7">COUNTA(_xlfn.UNIQUE(_xlfn._xlws.FILTER(coding!A:A,(coding!F:F=A7)*(ISNUMBER(SEARCH("migration",coding!G:G))))))</f>
        <v>3</v>
      </c>
      <c r="I7">
        <v>0</v>
      </c>
    </row>
  </sheetData>
  <phoneticPr fontId="3"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raw_text</vt:lpstr>
      <vt:lpstr>keypoints</vt:lpstr>
      <vt:lpstr>coding</vt:lpstr>
      <vt:lpstr>codebook</vt:lpstr>
      <vt:lpstr>theme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Peerachai Banyongrakkul</cp:lastModifiedBy>
  <dcterms:created xsi:type="dcterms:W3CDTF">2026-02-25T15:12:42Z</dcterms:created>
  <dcterms:modified xsi:type="dcterms:W3CDTF">2026-03-19T11:49:47Z</dcterms:modified>
</cp:coreProperties>
</file>