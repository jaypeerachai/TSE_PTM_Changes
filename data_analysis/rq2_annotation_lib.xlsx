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pbanyongrakkul/Documents/GitHub/TSE_PTM_Changes/data_analysis/"/>
    </mc:Choice>
  </mc:AlternateContent>
  <xr:revisionPtr revIDLastSave="0" documentId="13_ncr:1_{4F9D9245-A40E-224F-BE3D-D2DC026A1AA2}" xr6:coauthVersionLast="47" xr6:coauthVersionMax="47" xr10:uidLastSave="{00000000-0000-0000-0000-000000000000}"/>
  <bookViews>
    <workbookView xWindow="0" yWindow="680" windowWidth="30240" windowHeight="17840" xr2:uid="{00000000-000D-0000-FFFF-FFFF00000000}"/>
  </bookViews>
  <sheets>
    <sheet name="doc_overview" sheetId="1" r:id="rId1"/>
    <sheet name="raw_text_with_url" sheetId="2" r:id="rId2"/>
  </sheets>
  <definedNames>
    <definedName name="_xlnm._FilterDatabase" localSheetId="0" hidden="1">doc_overview!$B$1:$S$421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7" i="1" l="1"/>
  <c r="D410" i="1"/>
  <c r="F406" i="1"/>
  <c r="D406" i="1"/>
  <c r="D325" i="1"/>
  <c r="D269" i="1"/>
  <c r="D147" i="1"/>
  <c r="D73" i="1"/>
  <c r="D50" i="1"/>
</calcChain>
</file>

<file path=xl/sharedStrings.xml><?xml version="1.0" encoding="utf-8"?>
<sst xmlns="http://schemas.openxmlformats.org/spreadsheetml/2006/main" count="3931" uniqueCount="2179">
  <si>
    <t>sample_row_key</t>
  </si>
  <si>
    <t>change_type</t>
  </si>
  <si>
    <t>changed_name</t>
  </si>
  <si>
    <t>associated_version</t>
  </si>
  <si>
    <t>to_name</t>
  </si>
  <si>
    <t>to_version</t>
  </si>
  <si>
    <t>commit_sha</t>
  </si>
  <si>
    <t>commit_url</t>
  </si>
  <si>
    <t>release_url</t>
  </si>
  <si>
    <t>changed_file_path</t>
  </si>
  <si>
    <t>Done</t>
  </si>
  <si>
    <t>Doc?</t>
  </si>
  <si>
    <t>Release?</t>
  </si>
  <si>
    <t>Commit?</t>
  </si>
  <si>
    <t>Pull Request?</t>
  </si>
  <si>
    <t>Issue?</t>
  </si>
  <si>
    <t>Code Comment?</t>
  </si>
  <si>
    <t>Other?</t>
  </si>
  <si>
    <t>id</t>
  </si>
  <si>
    <t>repo_id</t>
  </si>
  <si>
    <t>relesae_line_id</t>
  </si>
  <si>
    <t>prev_release_id</t>
  </si>
  <si>
    <t>curr_release_id</t>
  </si>
  <si>
    <t>3494||132157||1||12442||12441||updated||ollama||==0.3.*||||||6924cb317c1b31f1180bd99ecc6d83fac2c6b207||requirements.txt</t>
  </si>
  <si>
    <t>updated</t>
  </si>
  <si>
    <t>ollama</t>
  </si>
  <si>
    <t>6924cb317c1b31f1180bd99ecc6d83fac2c6b207</t>
  </si>
  <si>
    <t>https://github.com/ControlNet/HYDRA/commit/6924cb317c1b31f1180bd99ecc6d83fac2c6b207</t>
  </si>
  <si>
    <t>https://github.com/ControlNet/HYDRA/releases/tag/0.0.2</t>
  </si>
  <si>
    <t>requirements.txt</t>
  </si>
  <si>
    <t>3745||163227||1||13361||13360||removed||cycler||==0.11.0||||||d76b8f3c8220fbcdf92bfbd9c24fb42838d224b7||requirements.txt</t>
  </si>
  <si>
    <t>removed</t>
  </si>
  <si>
    <t>cycler</t>
  </si>
  <si>
    <t>d76b8f3c8220fbcdf92bfbd9c24fb42838d224b7</t>
  </si>
  <si>
    <t>https://github.com/deepdoctection/deepdoctection/commit/d76b8f3c8220fbcdf92bfbd9c24fb42838d224b7</t>
  </si>
  <si>
    <t>https://github.com/deepdoctection/deepdoctection/releases/tag/v.0.27.0</t>
  </si>
  <si>
    <t>782||25052||2||2293||2291||updated||datasets||&gt;=3.0.1||&gt;= 3.0.1||||1be7f0c33ffa8c363c6aa544403320c2c657dce8||argilla-server/pyproject.toml</t>
  </si>
  <si>
    <t>datasets</t>
  </si>
  <si>
    <t>&gt;=3.0.1</t>
  </si>
  <si>
    <t>&gt;= 3.0.1</t>
  </si>
  <si>
    <t>1be7f0c33ffa8c363c6aa544403320c2c657dce8</t>
  </si>
  <si>
    <t>https://github.com/Extralit/extralit/commit/1be7f0c33ffa8c363c6aa544403320c2c657dce8</t>
  </si>
  <si>
    <t>https://github.com/Extralit/extralit/releases/tag/v0.5.0</t>
  </si>
  <si>
    <t>argilla-server/pyproject.toml</t>
  </si>
  <si>
    <t>3559||140184||1||12708||12707||removed||shapely||==1.8.5.post1||||||1a08ab7ac1a432a45c713b14faa9323fb3c4841e||components/model_service/requirements.txt</t>
  </si>
  <si>
    <t>shapely</t>
  </si>
  <si>
    <t>1a08ab7ac1a432a45c713b14faa9323fb3c4841e</t>
  </si>
  <si>
    <t>https://github.com/GoogleCloudPlatform/core-solution-services/commit/1a08ab7ac1a432a45c713b14faa9323fb3c4841e</t>
  </si>
  <si>
    <t>https://github.com/GoogleCloudPlatform/core-solution-services/releases/tag/v0.3.0</t>
  </si>
  <si>
    <t>components/model_service/requirements.txt</t>
  </si>
  <si>
    <t>18||1649||1||106||105||migration||opencv-python||||||opencv-python-headless||f8a72445ccf6c8ce971a2b19b012ce94106c96d9||requirements.txt</t>
  </si>
  <si>
    <t>migration</t>
  </si>
  <si>
    <t>opencv-python</t>
  </si>
  <si>
    <t>opencv-python-headless</t>
  </si>
  <si>
    <t>f8a72445ccf6c8ce971a2b19b012ce94106c96d9</t>
  </si>
  <si>
    <t>https://github.com/intel/neural-compressor/commit/f8a72445ccf6c8ce971a2b19b012ce94106c96d9</t>
  </si>
  <si>
    <t>https://github.com/intel/neural-compressor/releases/tag/v2.3</t>
  </si>
  <si>
    <t>2961||100900||2||8835||8834||added||idna||==3.4 ; python_version &gt;= "3.9" and python_version &lt; "4"||||||7a1ba58557095734ae0bcd0b43f159b66485837b||server/requirements.txt</t>
  </si>
  <si>
    <t>added</t>
  </si>
  <si>
    <t>idna</t>
  </si>
  <si>
    <t>7a1ba58557095734ae0bcd0b43f159b66485837b</t>
  </si>
  <si>
    <t>https://github.com/huggingface/text-generation-inference/commit/7a1ba58557095734ae0bcd0b43f159b66485837b</t>
  </si>
  <si>
    <t>https://github.com/huggingface/text-generation-inference/releases/tag/v0.6.0</t>
  </si>
  <si>
    <t>server/requirements.txt</t>
  </si>
  <si>
    <t>782||25052||2||2293||2291||added||llama-index-vector-stores-weaviate||~= 1.0.0||||||c6eadab07339675d776ce77c06a7aa3fc0d84240||extralit/pyproject.toml</t>
  </si>
  <si>
    <t>llama-index-vector-stores-weaviate</t>
  </si>
  <si>
    <t>~= 1.0.0</t>
  </si>
  <si>
    <t>c6eadab07339675d776ce77c06a7aa3fc0d84240</t>
  </si>
  <si>
    <t>https://github.com/Extralit/extralit/commit/c6eadab07339675d776ce77c06a7aa3fc0d84240</t>
  </si>
  <si>
    <t>extralit/pyproject.toml</t>
  </si>
  <si>
    <t>870||29747||1||2551||2550||added||fastavro||==1.11.1||||||51a3437df456f98ffc05f52f5e47d50db28a1b40||requirements.txt</t>
  </si>
  <si>
    <t>fastavro</t>
  </si>
  <si>
    <t>51a3437df456f98ffc05f52f5e47d50db28a1b40</t>
  </si>
  <si>
    <t>https://github.com/pigeonai-org/ViDove/commit/51a3437df456f98ffc05f52f5e47d50db28a1b40</t>
  </si>
  <si>
    <t>https://github.com/pigeonai-org/ViDove/releases/tag/v1.0.0</t>
  </si>
  <si>
    <t>2932||99225||1||8625||8624||added||typing-inspection||==0.4.1 \||||||c5eab1cc6e695149d37a08a0bd4bcf5a10a0e027||requirements.txt</t>
  </si>
  <si>
    <t>typing-inspection</t>
  </si>
  <si>
    <t>c5eab1cc6e695149d37a08a0bd4bcf5a10a0e027</t>
  </si>
  <si>
    <t>https://github.com/wandb/llm-leaderboard/commit/c5eab1cc6e695149d37a08a0bd4bcf5a10a0e027</t>
  </si>
  <si>
    <t>https://github.com/wandb/llm-leaderboard/releases/tag/v4.0.0</t>
  </si>
  <si>
    <t>2994||100900||2||8798||8779||added||deprecated||==1.2.18 ; python_version &gt;= "3.9" and python_version &lt; "3.13"||||||683ff53fa3d29d6e0660b4f874d5d2e74a75dfa7||backends/gaudi/server/requirements.txt</t>
  </si>
  <si>
    <t>deprecated</t>
  </si>
  <si>
    <t>683ff53fa3d29d6e0660b4f874d5d2e74a75dfa7</t>
  </si>
  <si>
    <t>https://github.com/huggingface/text-generation-inference/commit/683ff53fa3d29d6e0660b4f874d5d2e74a75dfa7</t>
  </si>
  <si>
    <t>https://github.com/huggingface/text-generation-inference/releases/tag/v3.3.6</t>
  </si>
  <si>
    <t>backends/gaudi/server/requirements.txt</t>
  </si>
  <si>
    <t>2375||86500||1||7413||7412||added||tabulate||||||||d573bfea691f4125873451fd93d43d47c1f88be5||pyproject.toml</t>
  </si>
  <si>
    <t>tabulate</t>
  </si>
  <si>
    <t>d573bfea691f4125873451fd93d43d47c1f88be5</t>
  </si>
  <si>
    <t>https://github.com/modelscope/data-juicer/commit/d573bfea691f4125873451fd93d43d47c1f88be5</t>
  </si>
  <si>
    <t>https://github.com/modelscope/data-juicer/releases/tag/v1.4.0</t>
  </si>
  <si>
    <t>pyproject.toml</t>
  </si>
  <si>
    <t>2928||98747||1||8579||8578||added||coacd||||||||0ca4a4894f704529dfe71e41d88b589f3fb0aef6||requirements.txt</t>
  </si>
  <si>
    <t>coacd</t>
  </si>
  <si>
    <t>0ca4a4894f704529dfe71e41d88b589f3fb0aef6</t>
  </si>
  <si>
    <t>https://github.com/HorizonRobotics/EmbodiedGen/commit/0ca4a4894f704529dfe71e41d88b589f3fb0aef6</t>
  </si>
  <si>
    <t>https://github.com/HorizonRobotics/EmbodiedGen/releases/tag/v0.1.4</t>
  </si>
  <si>
    <t>2265||77688||2||7043||7042||removed||anthropic||[bedrock] (&gt;=0.51.0,&lt;0.52.0)||||||ee64c2b5dcc8d21ee3257a51d62c58be20a03d03||pyproject.toml</t>
  </si>
  <si>
    <t>anthropic</t>
  </si>
  <si>
    <t>[bedrock] (&gt;=0.51.0,&lt;0.52.0)</t>
  </si>
  <si>
    <t>ee64c2b5dcc8d21ee3257a51d62c58be20a03d03</t>
  </si>
  <si>
    <t>https://github.com/M-Chimiste/TheseusInsight/commit/ee64c2b5dcc8d21ee3257a51d62c58be20a03d03</t>
  </si>
  <si>
    <t>https://github.com/M-Chimiste/TheseusInsight/releases/tag/v0.9.5.0</t>
  </si>
  <si>
    <t>3051||101062||1||8919||8914||added||jinja2||==3.1.4||||||fcbc982dbc8524cb159578c99b7e2e6613eac8a3||requirements.txt</t>
  </si>
  <si>
    <t>jinja2</t>
  </si>
  <si>
    <t>fcbc982dbc8524cb159578c99b7e2e6613eac8a3</t>
  </si>
  <si>
    <t>https://github.com/marqo-ai/marqo/commit/fcbc982dbc8524cb159578c99b7e2e6613eac8a3</t>
  </si>
  <si>
    <t>https://github.com/marqo-ai/marqo/releases/tag/2.13.0</t>
  </si>
  <si>
    <t>3612||149926||1||13078||13077||removed||black||^22.6.0||||||53eedc80bdb6c36f4b4022fd5edda03ce36f48b3||pyproject.toml</t>
  </si>
  <si>
    <t>black</t>
  </si>
  <si>
    <t>^22.6.0</t>
  </si>
  <si>
    <t>53eedc80bdb6c36f4b4022fd5edda03ce36f48b3</t>
  </si>
  <si>
    <t>https://github.com/inseq-team/inseq/commit/53eedc80bdb6c36f4b4022fd5edda03ce36f48b3</t>
  </si>
  <si>
    <t>https://github.com/inseq-team/inseq/releases/tag/v0.5.0</t>
  </si>
  <si>
    <t>3612||149926||1||13078||13077||migration||torchtyping||^0.1.4||||jaxtyping||33f69329c008dffaa57b2fe887a9089acddb27e7||pyproject.toml</t>
  </si>
  <si>
    <t>torchtyping</t>
  </si>
  <si>
    <t>^0.1.4</t>
  </si>
  <si>
    <t>jaxtyping</t>
  </si>
  <si>
    <t>33f69329c008dffaa57b2fe887a9089acddb27e7</t>
  </si>
  <si>
    <t>https://github.com/inseq-team/inseq/commit/33f69329c008dffaa57b2fe887a9089acddb27e7</t>
  </si>
  <si>
    <t>1376||54253||1||4418||4417||added||timm||&gt;=1.0.3||||||9fd2167f6a7d87c629792d356c5ced4236ab8e2b||pyproject.toml</t>
  </si>
  <si>
    <t>timm</t>
  </si>
  <si>
    <t>&gt;=1.0.3</t>
  </si>
  <si>
    <t>9fd2167f6a7d87c629792d356c5ced4236ab8e2b</t>
  </si>
  <si>
    <t>https://github.com/rendeirolab/LazySlide/commit/9fd2167f6a7d87c629792d356c5ced4236ab8e2b</t>
  </si>
  <si>
    <t>https://github.com/rendeirolab/LazySlide/releases/tag/v0.3.0</t>
  </si>
  <si>
    <t>931||34392||1||2655||2654||updated||fsspec||==2024.6.1 ; python_version &gt;= "3.11" and python_version &lt; "3.12"||~=2024.6.1 ; python_version &gt;= "3.11" and python_version &lt; "3.12"||||8b53b4380dc9b9ff691eac79179a1a2006a3e644||requirements.txt</t>
  </si>
  <si>
    <t>fsspec</t>
  </si>
  <si>
    <t>~=2024.6.1 ; python_version &gt;= "3.11" and python_version &lt; "3.12"</t>
  </si>
  <si>
    <t>8b53b4380dc9b9ff691eac79179a1a2006a3e644</t>
  </si>
  <si>
    <t>https://github.com/aiverify-foundation/moonshot-data/commit/8b53b4380dc9b9ff691eac79179a1a2006a3e644</t>
  </si>
  <si>
    <t>https://github.com/aiverify-foundation/moonshot-data/releases/tag/0.4.11</t>
  </si>
  <si>
    <t>3613||149926||1||13077||13076||updated||nvidia-cublas-cu11||&gt;=11.10.3.66||&gt;=11.10.3.66; sys_platform=='Linux'||||585d3091b8f05739734767ca4c10b2ba721ef6fe||pyproject.toml</t>
  </si>
  <si>
    <t>nvidia-cublas-cu11</t>
  </si>
  <si>
    <t>&gt;=11.10.3.66</t>
  </si>
  <si>
    <t>&gt;=11.10.3.66; sys_platform=='Linux'</t>
  </si>
  <si>
    <t>585d3091b8f05739734767ca4c10b2ba721ef6fe</t>
  </si>
  <si>
    <t>https://github.com/inseq-team/inseq/commit/585d3091b8f05739734767ca4c10b2ba721ef6fe</t>
  </si>
  <si>
    <t>https://github.com/inseq-team/inseq/releases/tag/v0.6.0</t>
  </si>
  <si>
    <t>4368||268650||1||15465||15464||updated||attrs||==24.2.0||==25.1.0||||98e10eaf5c225995a9fa6b34a25b715cd01a542a||requirements.txt</t>
  </si>
  <si>
    <t>attrs</t>
  </si>
  <si>
    <t>98e10eaf5c225995a9fa6b34a25b715cd01a542a</t>
  </si>
  <si>
    <t>https://github.com/engchina/No.1-RAG/commit/98e10eaf5c225995a9fa6b34a25b715cd01a542a</t>
  </si>
  <si>
    <t>https://github.com/engchina/No.1-RAG/releases/tag/v1.0.4</t>
  </si>
  <si>
    <t>1469||55589||1||4565||4564||updated||mistralai||==1.1.0||==1.7.0||||9d6abd543580055e44b6d57b2cbdcc7cf8a76f06||berkeley-function-call-leaderboard/pyproject.toml</t>
  </si>
  <si>
    <t>mistralai</t>
  </si>
  <si>
    <t>1.1.0</t>
  </si>
  <si>
    <t>1.7.0</t>
  </si>
  <si>
    <t>7990f1e823ba08ecb57d358ba25fd9a18cadc413</t>
  </si>
  <si>
    <t>https://github.com/ShishirPatil/gorilla/commit/7990f1e823ba08ecb57d358ba25fd9a18cadc413</t>
  </si>
  <si>
    <t>https://github.com/ShishirPatil/gorilla/releases/tag/v1.3</t>
  </si>
  <si>
    <t>berkeley-function-call-leaderboard/pyproject.toml</t>
  </si>
  <si>
    <t>40||2403||1||146||145||updated||scikit-image||==0.24.0||==0.25.2 ; python_full_version &gt;= '3.10'||||cb8a491a40136b7a069f73aaa37305b1518216d0||requirements.txt</t>
  </si>
  <si>
    <t>scikit-image</t>
  </si>
  <si>
    <t>cb8a491a40136b7a069f73aaa37305b1518216d0</t>
  </si>
  <si>
    <t>https://github.com/stanford-crfm/helm/commit/cb8a491a40136b7a069f73aaa37305b1518216d0</t>
  </si>
  <si>
    <t>https://github.com/stanford-crfm/helm/releases/tag/v0.5.6</t>
  </si>
  <si>
    <t>4320||255891||1||15257||15256||removed||wrapt||==1.11.2||||||d42338c6007d08bcb49ad1c48b1a9ff2c7282d13||requirements.txt</t>
  </si>
  <si>
    <t>wrapt</t>
  </si>
  <si>
    <t>d42338c6007d08bcb49ad1c48b1a9ff2c7282d13</t>
  </si>
  <si>
    <t>https://github.com/CalculatedContent/WeightWatcher/commit/d42338c6007d08bcb49ad1c48b1a9ff2c7282d13</t>
  </si>
  <si>
    <t>https://github.com/CalculatedContent/WeightWatcher/releases/tag/0.7.3.5</t>
  </si>
  <si>
    <t>3683||157024||1||13250||13249||updated||sentence-transformers||^2.6.1||&gt;=2.6.1||||3c965184079fb93a3ca9cbe09c5df1b01c437515||pyproject.toml</t>
  </si>
  <si>
    <t>sentence-transformers</t>
  </si>
  <si>
    <t>^2.6.1</t>
  </si>
  <si>
    <t>&gt;=2.6.1</t>
  </si>
  <si>
    <t>3c965184079fb93a3ca9cbe09c5df1b01c437515</t>
  </si>
  <si>
    <t>https://github.com/mobiusml/aana_sdk/commit/3c965184079fb93a3ca9cbe09c5df1b01c437515</t>
  </si>
  <si>
    <t>https://github.com/mobiusml/aana_sdk/releases/tag/v0.2.2.3</t>
  </si>
  <si>
    <t>406||16876||1||1452||1451||added||llama-index-readers-file||^0.1.23||||||a055a12f635bc04f9081db3759f3ff6f58f548de||pyproject.toml</t>
  </si>
  <si>
    <t>llama-index-readers-file</t>
  </si>
  <si>
    <t>^0.1.23</t>
  </si>
  <si>
    <t>a055a12f635bc04f9081db3759f3ff6f58f548de</t>
  </si>
  <si>
    <t>https://github.com/apocas/restai/commit/a055a12f635bc04f9081db3759f3ff6f58f548de</t>
  </si>
  <si>
    <t>https://github.com/apocas/restai/releases/tag/v5.0.0</t>
  </si>
  <si>
    <t>3210||106057||1||10470||10469||removed||tweepy||==4.12.1||||||4866090d923ef6f2e2a9b4bea0585fc3e0f30218||requirements.txt</t>
  </si>
  <si>
    <t>tweepy</t>
  </si>
  <si>
    <t>4866090d923ef6f2e2a9b4bea0585fc3e0f30218</t>
  </si>
  <si>
    <t>https://github.com/StephanAkkerman/fintwit-bot/commit/4866090d923ef6f2e2a9b4bea0585fc3e0f30218</t>
  </si>
  <si>
    <t>https://github.com/StephanAkkerman/fintwit-bot/releases/tag/v1.1</t>
  </si>
  <si>
    <t>2930||99225||1||8627||8626||added||outlines||==0.0.34||||||f820b1bffbae7d700bd10cdbde6820b15047b516||requirements.txt</t>
  </si>
  <si>
    <t>outlines</t>
  </si>
  <si>
    <t>f820b1bffbae7d700bd10cdbde6820b15047b516</t>
  </si>
  <si>
    <t>https://github.com/wandb/llm-leaderboard/commit/f820b1bffbae7d700bd10cdbde6820b15047b516</t>
  </si>
  <si>
    <t>https://github.com/wandb/llm-leaderboard/releases/tag/v3.0.0</t>
  </si>
  <si>
    <t>2265||77688||2||7043||7042||removed||uvicorn||(&gt;=0.34.2,&lt;0.35.0)||||||ee64c2b5dcc8d21ee3257a51d62c58be20a03d03||pyproject.toml</t>
  </si>
  <si>
    <t>uvicorn</t>
  </si>
  <si>
    <t>(&gt;=0.34.2,&lt;0.35.0)</t>
  </si>
  <si>
    <t>40||2403||1||146||145||updated||scipy||==1.13.1||==1.15.3 ; python_full_version &gt;= '3.10'||||cb8a491a40136b7a069f73aaa37305b1518216d0||requirements.txt</t>
  </si>
  <si>
    <t>scipy</t>
  </si>
  <si>
    <t>931||34392||1||2655||2654||added||ragas||~=0.1.18 ; python_version &gt;= "3.11" and python_version &lt; "3.12"||||||104e11ccd75bbd340012a00f7fa8e22cc42c28d4||requirements.txt</t>
  </si>
  <si>
    <t>ragas</t>
  </si>
  <si>
    <t>~=0.1.18 ; python_version &gt;= "3.11" and python_version &lt; "3.12"</t>
  </si>
  <si>
    <t>104e11ccd75bbd340012a00f7fa8e22cc42c28d4</t>
  </si>
  <si>
    <t>https://github.com/aiverify-foundation/moonshot-data/commit/104e11ccd75bbd340012a00f7fa8e22cc42c28d4</t>
  </si>
  <si>
    <t>660||21283||24||1852||1851||removed||databricks-sdk||&lt;1,&gt;=0.20.0||||||5cc8e8d880543f578bf87227949195ec50d26ff0||packages/tracing/pyproject.toml</t>
  </si>
  <si>
    <t>databricks-sdk</t>
  </si>
  <si>
    <t>&lt;1,&gt;=0.20.0</t>
  </si>
  <si>
    <t>5cc8e8d880543f578bf87227949195ec50d26ff0</t>
  </si>
  <si>
    <t>https://github.com/mlflow/mlflow/commit/5cc8e8d880543f578bf87227949195ec50d26ff0</t>
  </si>
  <si>
    <t>https://github.com/mlflow/mlflow/releases/tag/v3.1.3</t>
  </si>
  <si>
    <t>packages/tracing/pyproject.toml</t>
  </si>
  <si>
    <t>3537||135154||1||12633||12632||added||xformers||||||||186a71907e4e7b22cc9b073b35742d0572c4e103||requirements.txt</t>
  </si>
  <si>
    <t>xformers</t>
  </si>
  <si>
    <t>186a71907e4e7b22cc9b073b35742d0572c4e103</t>
  </si>
  <si>
    <t>https://github.com/jolibrain/joliGEN/commit/186a71907e4e7b22cc9b073b35742d0572c4e103</t>
  </si>
  <si>
    <t>https://github.com/jolibrain/joliGEN/releases/tag/v4.0.0</t>
  </si>
  <si>
    <t>57||5542||1||276||275||updated||pytest||==8.3.5||==8.4.1||||2d60551cb37a97ad0b968dde78b2d28df1195e8d||requirements.txt</t>
  </si>
  <si>
    <t>pytest</t>
  </si>
  <si>
    <t>8.4.0</t>
  </si>
  <si>
    <t>8.4.1</t>
  </si>
  <si>
    <t>2d60551cb37a97ad0b968dde78b2d28df1195e8d</t>
  </si>
  <si>
    <t>https://github.com/meleksabit/ai-powered-alerting-system/commit/2d60551cb37a97ad0b968dde78b2d28df1195e8d</t>
  </si>
  <si>
    <t>https://github.com/meleksabit/ai-powered-alerting-system/releases/tag/v2.3.2</t>
  </si>
  <si>
    <t>2872||97877||1||8506||8505||updated||akshare||^1.14.81||&gt;=1.15.78,&lt;2.0.0||||2962284c799aa33f7e8009979a14217dea0ba976||pyproject.toml</t>
  </si>
  <si>
    <t>akshare</t>
  </si>
  <si>
    <t>^1.14.81</t>
  </si>
  <si>
    <t>&gt;=1.15.78,&lt;2.0.0</t>
  </si>
  <si>
    <t>2962284c799aa33f7e8009979a14217dea0ba976</t>
  </si>
  <si>
    <t>https://github.com/infiniflow/ragflow/commit/2962284c799aa33f7e8009979a14217dea0ba976</t>
  </si>
  <si>
    <t>https://github.com/infiniflow/ragflow/releases/tag/v0.16.0</t>
  </si>
  <si>
    <t>1781||58507||1||5290||5288||removed||openai||&gt;=1.0.0||||||33ea2190656273a949fabf4d4604ce7a62e77bf6||ragas/pyproject.toml</t>
  </si>
  <si>
    <t>openai</t>
  </si>
  <si>
    <t>&gt;=1.0.0</t>
  </si>
  <si>
    <t>33ea2190656273a949fabf4d4604ce7a62e77bf6</t>
  </si>
  <si>
    <t>https://github.com/explodinggradients/ragas/commit/33ea2190656273a949fabf4d4604ce7a62e77bf6</t>
  </si>
  <si>
    <t>https://github.com/explodinggradients/ragas/releases/tag/v0.3.3</t>
  </si>
  <si>
    <t>ragas/pyproject.toml</t>
  </si>
  <si>
    <t>2285||82290||1||7236||7235||updated||accelerate||==1.2.0||==1.3.0||||8a7a0b07dc5ce6da9171e28a0818b447b6d7cea2||requirements.txt</t>
  </si>
  <si>
    <t>accelerate</t>
  </si>
  <si>
    <t>47f33d8f145357033e21b8390a5203bec5f31155</t>
  </si>
  <si>
    <t>https://github.com/axolotl-ai-cloud/axolotl/commit/47f33d8f145357033e21b8390a5203bec5f31155</t>
  </si>
  <si>
    <t>https://github.com/axolotl-ai-cloud/axolotl/releases/tag/v0.7.0</t>
  </si>
  <si>
    <t>3306||110330||1||11237||11236||updated||huggingface-hub||^0.23.0||^0.24.6||||1447291be01f74b2ffdf8ce5f1d7f7a9243257a2||pyproject.toml</t>
  </si>
  <si>
    <t>huggingface-hub</t>
  </si>
  <si>
    <t>^0.23.0</t>
  </si>
  <si>
    <t>^0.24.6</t>
  </si>
  <si>
    <t>1447291be01f74b2ffdf8ce5f1d7f7a9243257a2</t>
  </si>
  <si>
    <t>https://github.com/lnccbrown/HSSM/commit/1447291be01f74b2ffdf8ce5f1d7f7a9243257a2</t>
  </si>
  <si>
    <t>https://github.com/lnccbrown/HSSM/releases/tag/v0.2.4</t>
  </si>
  <si>
    <t>4027||212418||1||14520||14519||added||tqdm||||||||4392c2092a427ab4c62f35b00f14b696da3d0ece||pyproject.toml</t>
  </si>
  <si>
    <t>tqdm</t>
  </si>
  <si>
    <t>4392c2092a427ab4c62f35b00f14b696da3d0ece</t>
  </si>
  <si>
    <t>https://github.com/niklases/PyPEF/commit/4392c2092a427ab4c62f35b00f14b696da3d0ece</t>
  </si>
  <si>
    <t>https://github.com/niklases/PyPEF/releases/tag/v0.4.3</t>
  </si>
  <si>
    <t>760||23507||1||2124||2123||updated||numpy||(&gt;=1.25,&lt;2.0)||(&gt;=1.25)||||5f1a8396b5ce789745c97b4dfe3da7f63a29515c||pyproject.toml</t>
  </si>
  <si>
    <t>numpy</t>
  </si>
  <si>
    <t>(&gt;=1.25,&lt;2.0)</t>
  </si>
  <si>
    <t>(&gt;=1.25)</t>
  </si>
  <si>
    <t>5f1a8396b5ce789745c97b4dfe3da7f63a29515c</t>
  </si>
  <si>
    <t>https://github.com/pixeltable/pixeltable/commit/5f1a8396b5ce789745c97b4dfe3da7f63a29515c</t>
  </si>
  <si>
    <t>https://github.com/pixeltable/pixeltable/releases/tag/v0.3.11</t>
  </si>
  <si>
    <t>239||11179||1||846||845||updated||lightning||&gt;=2.4.0||&gt;=2.5.2||||f6057bc5ab4dbfa358061bc16309e9075ba7baaa||pyproject.toml</t>
  </si>
  <si>
    <t>lightning</t>
  </si>
  <si>
    <t>&gt;=2.4.0</t>
  </si>
  <si>
    <t>&gt;=2.5.2</t>
  </si>
  <si>
    <t>f6057bc5ab4dbfa358061bc16309e9075ba7baaa</t>
  </si>
  <si>
    <t>https://github.com/KatherLab/STAMP/commit/f6057bc5ab4dbfa358061bc16309e9075ba7baaa</t>
  </si>
  <si>
    <t>https://github.com/KatherLab/STAMP/releases/tag/2.3.0</t>
  </si>
  <si>
    <t>3502||132324||1||12465||12464||added||bert-score||^0.3.13||||||6584d5e43a776cb70e4bd6d5099bc9450c4ccdd4||pyproject.toml</t>
  </si>
  <si>
    <t>bert-score</t>
  </si>
  <si>
    <t>^0.3.13</t>
  </si>
  <si>
    <t>6584d5e43a776cb70e4bd6d5099bc9450c4ccdd4</t>
  </si>
  <si>
    <t>https://github.com/ITM-Kitware/align-system/commit/6584d5e43a776cb70e4bd6d5099bc9450c4ccdd4</t>
  </si>
  <si>
    <t>https://github.com/ITM-Kitware/align-system/releases/tag/0.2.0</t>
  </si>
  <si>
    <t>870||29747||1||2551||2550||added||pure-eval||==0.2.3||||||51a3437df456f98ffc05f52f5e47d50db28a1b40||web_frontend/backend/requirements.txt</t>
  </si>
  <si>
    <t>pure-eval</t>
  </si>
  <si>
    <t>web_frontend/backend/requirements.txt</t>
  </si>
  <si>
    <t>445||17600||1||1517||1516||migration||pinecone-client||==5.0.1||||pinecone||c7030a609b5e87cf7988e1eec873e4ab187221aa||requirements.txt</t>
  </si>
  <si>
    <t>pinecone-client</t>
  </si>
  <si>
    <t>pinecone</t>
  </si>
  <si>
    <t>c7030a609b5e87cf7988e1eec873e4ab187221aa</t>
  </si>
  <si>
    <t>https://github.com/swirlai/swirl-search/commit/c7030a609b5e87cf7988e1eec873e4ab187221aa</t>
  </si>
  <si>
    <t>https://github.com/swirlai/swirl-search/releases/tag/v4.1.0.0</t>
  </si>
  <si>
    <t>3726||162404||1||13322||13321||added||commentjson||||||||360ff7332dab895c5cd43e4a4f526261fdc45e22||pyproject.toml</t>
  </si>
  <si>
    <t>commentjson</t>
  </si>
  <si>
    <t>360ff7332dab895c5cd43e4a4f526261fdc45e22</t>
  </si>
  <si>
    <t>https://github.com/xming521/WeClone/commit/360ff7332dab895c5cd43e4a4f526261fdc45e22</t>
  </si>
  <si>
    <t>https://github.com/xming521/WeClone/releases/tag/v0.1.3</t>
  </si>
  <si>
    <t>2281||82290||1||7240||7239||added||s3fs||||||||3cc67d2cdd95196e4e9ae28fe2c6512092100e21||requirements.txt</t>
  </si>
  <si>
    <t>s3fs</t>
  </si>
  <si>
    <t>3cc67d2cdd95196e4e9ae28fe2c6512092100e21</t>
  </si>
  <si>
    <t>https://github.com/axolotl-ai-cloud/axolotl/commit/3cc67d2cdd95196e4e9ae28fe2c6512092100e21</t>
  </si>
  <si>
    <t>https://github.com/axolotl-ai-cloud/axolotl/releases/tag/v0.4.0</t>
  </si>
  <si>
    <t>1231||46785||1||3373||3372||migration||fjformer||0.0.91||||eformer||1d1c71f12f1d4c0dd2c7598a272f26ae926a312a||pyproject.toml</t>
  </si>
  <si>
    <t>fjformer</t>
  </si>
  <si>
    <t>0.0.91</t>
  </si>
  <si>
    <t>eformer</t>
  </si>
  <si>
    <t>1d1c71f12f1d4c0dd2c7598a272f26ae926a312a</t>
  </si>
  <si>
    <t>https://github.com/erfanzar/EasyDeL/commit/1d1c71f12f1d4c0dd2c7598a272f26ae926a312a</t>
  </si>
  <si>
    <t>https://github.com/erfanzar/EasyDeL/releases/tag/0.1.0</t>
  </si>
  <si>
    <t>34||2403||1||152||151||updated||simple-slurm||==0.2.6||==0.2.7||||944cc111e16a9a0c5071a7835dae57d6965f22d0||requirements.txt</t>
  </si>
  <si>
    <t>simple-slurm</t>
  </si>
  <si>
    <t>944cc111e16a9a0c5071a7835dae57d6965f22d0</t>
  </si>
  <si>
    <t>https://github.com/stanford-crfm/helm/commit/944cc111e16a9a0c5071a7835dae57d6965f22d0</t>
  </si>
  <si>
    <t>https://github.com/stanford-crfm/helm/releases/tag/v0.5.0</t>
  </si>
  <si>
    <t>3745||163227||1||13361||13360||removed||six||==1.16.0||||||d76b8f3c8220fbcdf92bfbd9c24fb42838d224b7||requirements.txt</t>
  </si>
  <si>
    <t>six</t>
  </si>
  <si>
    <t>3559||140184||1||12708||12707||removed||packaging||==21.3||||||1a08ab7ac1a432a45c713b14faa9323fb3c4841e||components/model_service/requirements.txt</t>
  </si>
  <si>
    <t>packaging</t>
  </si>
  <si>
    <t>2865||97877||1||8513||8512||added||ormsgpack||==1.5.0||||||6b7c02857825e6a475c90228212a34f2494c5b8d||requirements.txt</t>
  </si>
  <si>
    <t>ormsgpack</t>
  </si>
  <si>
    <t>6b7c02857825e6a475c90228212a34f2494c5b8d</t>
  </si>
  <si>
    <t>https://github.com/infiniflow/ragflow/commit/6b7c02857825e6a475c90228212a34f2494c5b8d</t>
  </si>
  <si>
    <t>https://github.com/infiniflow/ragflow/releases/tag/v0.11.0</t>
  </si>
  <si>
    <t>680||21283||38||1921||1856||added||pyasn1-modules||==0.4.1||||||2fd257c8e5d4ac95a0b1d03e64fb0214c2e42057||.devcontainer/requirements.txt</t>
  </si>
  <si>
    <t>pyasn1-modules</t>
  </si>
  <si>
    <t>2fd257c8e5d4ac95a0b1d03e64fb0214c2e42057</t>
  </si>
  <si>
    <t>https://github.com/mlflow/mlflow/commit/2fd257c8e5d4ac95a0b1d03e64fb0214c2e42057</t>
  </si>
  <si>
    <t>https://github.com/mlflow/mlflow/releases/tag/v3.0.0</t>
  </si>
  <si>
    <t>.devcontainer/requirements.txt</t>
  </si>
  <si>
    <t>2339||85311||1||7366||7365||removed||tqdm||==4.56.0||||||53063015d59fffd87d16b8716a637e3351a97892||train/requirements.txt</t>
  </si>
  <si>
    <t>53063015d59fffd87d16b8716a637e3351a97892</t>
  </si>
  <si>
    <t>https://github.com/segment-any-text/wtpsplit/commit/53063015d59fffd87d16b8716a637e3351a97892</t>
  </si>
  <si>
    <t>https://github.com/segment-any-text/wtpsplit/releases/tag/1.0.1</t>
  </si>
  <si>
    <t>train/requirements.txt</t>
  </si>
  <si>
    <t>1463||55589||1||4571||4570||added||accelerate||||||||6abfa2f1dda42c0597ccf4bd9ed43cb65f8d4fd0||berkeley-function-call-leaderboard/requirements.txt</t>
  </si>
  <si>
    <t>1cfbe335afcef98628fb444d9c922723e053ea0c</t>
  </si>
  <si>
    <t>https://github.com/ShishirPatil/gorilla/commit/1cfbe335afcef98628fb444d9c922723e053ea0c</t>
  </si>
  <si>
    <t>https://github.com/ShishirPatil/gorilla/releases/tag/v0.1</t>
  </si>
  <si>
    <t>berkeley-function-call-leaderboard/requirements.txt</t>
  </si>
  <si>
    <t>301||13815||7||986||984||added||safetensors||||||||e62f3ee670f721818db5525a696ddc0e3e543a82||requirements.txt</t>
  </si>
  <si>
    <t>safetensors</t>
  </si>
  <si>
    <t>e62f3ee670f721818db5525a696ddc0e3e543a82</t>
  </si>
  <si>
    <t>https://github.com/PaddlePaddle/PaddleNLP/commit/e62f3ee670f721818db5525a696ddc0e3e543a82</t>
  </si>
  <si>
    <t>https://github.com/PaddlePaddle/PaddleNLP/releases/tag/v2.6.0</t>
  </si>
  <si>
    <t>3612||149926||1||13078||13077||migration||torchtyping||==0.1.4 ; python_full_version &gt;= "3.8.1" and python_version &lt; "3.12"||||jaxtyping||33f69329c008dffaa57b2fe887a9089acddb27e7||requirements.txt</t>
  </si>
  <si>
    <t>41||2403||1||145||144||updated||pdf2image||==1.16.3||==1.17.0||||bcf75ce74b2326fa815829da500eb5a0f9b821d9||requirements.txt</t>
  </si>
  <si>
    <t>pdf2image</t>
  </si>
  <si>
    <t>bcf75ce74b2326fa815829da500eb5a0f9b821d9</t>
  </si>
  <si>
    <t>https://github.com/stanford-crfm/helm/commit/bcf75ce74b2326fa815829da500eb5a0f9b821d9</t>
  </si>
  <si>
    <t>https://github.com/stanford-crfm/helm/releases/tag/v0.5.7</t>
  </si>
  <si>
    <t>2265||77688||2||7043||7042||removed||fastapi||(&gt;=0.115.12,&lt;0.116.0)||||||ee64c2b5dcc8d21ee3257a51d62c58be20a03d03||pyproject.toml</t>
  </si>
  <si>
    <t>fastapi</t>
  </si>
  <si>
    <t>(&gt;=0.115.12,&lt;0.116.0)</t>
  </si>
  <si>
    <t>3612||149926||1||13078||13077||updated||scikit-learn||^1.1.1||&gt;=1.1.1||||53eedc80bdb6c36f4b4022fd5edda03ce36f48b3||pyproject.toml</t>
  </si>
  <si>
    <t>scikit-learn</t>
  </si>
  <si>
    <t>^1.1.1</t>
  </si>
  <si>
    <t>&gt;=1.1.1</t>
  </si>
  <si>
    <t>1373||53462||1||4379||4378||added||terminado||&lt;0.18||||||6577a26ca799c15649d1133553015d8f44aaefd2||pyproject.toml</t>
  </si>
  <si>
    <t>terminado</t>
  </si>
  <si>
    <t>&lt;0.18</t>
  </si>
  <si>
    <t>6577a26ca799c15649d1133553015d8f44aaefd2</t>
  </si>
  <si>
    <t>https://github.com/davidberenstein1957/classy-classification/commit/6577a26ca799c15649d1133553015d8f44aaefd2</t>
  </si>
  <si>
    <t>https://github.com/davidberenstein1957/classy-classification/releases/tag/v1.0.1</t>
  </si>
  <si>
    <t>4391||272610||1||15506||15505||added||quattro||^24||||||fd4d54b7320c717263f45967108f8b55aad6caa6||pyproject.toml</t>
  </si>
  <si>
    <t>quattro</t>
  </si>
  <si>
    <t>^24</t>
  </si>
  <si>
    <t>fd4d54b7320c717263f45967108f8b55aad6caa6</t>
  </si>
  <si>
    <t>https://github.com/microsoft/sammo/commit/fd4d54b7320c717263f45967108f8b55aad6caa6</t>
  </si>
  <si>
    <t>https://github.com/microsoft/sammo/releases/tag/0.1.7</t>
  </si>
  <si>
    <t>2840||97616||1||8469||8468||removed||six||&gt;=1.16.0||||||12905bc3b7ce512eb638059b561bcfcd00ee8dc1||requirements.txt</t>
  </si>
  <si>
    <t>&gt;=1.16.0</t>
  </si>
  <si>
    <t>12905bc3b7ce512eb638059b561bcfcd00ee8dc1</t>
  </si>
  <si>
    <t>https://github.com/koito19960406/ZenSVI/commit/12905bc3b7ce512eb638059b561bcfcd00ee8dc1</t>
  </si>
  <si>
    <t>https://github.com/koito19960406/ZenSVI/releases/tag/v.1.0.0</t>
  </si>
  <si>
    <t>2994||100900||2||8798||8779||added||threadpoolctl||==3.6.0 ; python_version &gt;= "3.9" and python_version &lt; "3.13"||||||683ff53fa3d29d6e0660b4f874d5d2e74a75dfa7||backends/gaudi/server/requirements.txt</t>
  </si>
  <si>
    <t>threadpoolctl</t>
  </si>
  <si>
    <t>1139||41254||1||3068||3067||added||pytz||==2024.2 ; sys_platform == 'darwin' or sys_platform == 'linux' \||||||bc002ad12d9c7692c273f2f6837b8b7b6fa8cf7a||requirements.txt</t>
  </si>
  <si>
    <t>pytz</t>
  </si>
  <si>
    <t>bc002ad12d9c7692c273f2f6837b8b7b6fa8cf7a</t>
  </si>
  <si>
    <t>https://github.com/prescient-design/lobster/commit/bc002ad12d9c7692c273f2f6837b8b7b6fa8cf7a</t>
  </si>
  <si>
    <t>https://github.com/prescient-design/lobster/releases/tag/v0.0.6</t>
  </si>
  <si>
    <t>2740||96297||1||8105||8104||migration||pynvml||&lt;12||||nvidia-ml-py||a59750c5044bab60b6b3765e6c17041fd8984712||pyproject.toml</t>
  </si>
  <si>
    <t>pynvml</t>
  </si>
  <si>
    <t>&lt;12</t>
  </si>
  <si>
    <t>nvidia-ml-py</t>
  </si>
  <si>
    <t>a59750c5044bab60b6b3765e6c17041fd8984712</t>
  </si>
  <si>
    <t>https://github.com/bentoml/BentoML/commit/a59750c5044bab60b6b3765e6c17041fd8984712</t>
  </si>
  <si>
    <t>https://github.com/bentoml/BentoML/releases/tag/v1.1.9</t>
  </si>
  <si>
    <t>40||2403||1||146||145||updated||types-requests||==2.31.0.6||==2.32.4.20250611 ; python_full_version &gt;= '3.10'||||befe014e0a1b06f700a621f62b2cfed578665b47||requirements.txt</t>
  </si>
  <si>
    <t>types-requests</t>
  </si>
  <si>
    <t>befe014e0a1b06f700a621f62b2cfed578665b47</t>
  </si>
  <si>
    <t>https://github.com/stanford-crfm/helm/commit/befe014e0a1b06f700a621f62b2cfed578665b47</t>
  </si>
  <si>
    <t>3308||110330||1||11235||11233||removed||mkdocstrings-python||^1.10.0||||||706ca2bda7888f2dfe076f0652c5e311314f0f54||pyproject.toml</t>
  </si>
  <si>
    <t>mkdocstrings-python</t>
  </si>
  <si>
    <t>^1.10.0</t>
  </si>
  <si>
    <t>706ca2bda7888f2dfe076f0652c5e311314f0f54</t>
  </si>
  <si>
    <t>https://github.com/lnccbrown/HSSM/commit/706ca2bda7888f2dfe076f0652c5e311314f0f54</t>
  </si>
  <si>
    <t>https://github.com/lnccbrown/HSSM/releases/tag/v0.2.6</t>
  </si>
  <si>
    <t>2878||97877||1||8499||8498||updated||mcp||&gt;=1.6.0||&gt;=1.9.4||||03656da4dd8549904a102fb833b98cead88354b8||pyproject.toml</t>
  </si>
  <si>
    <t>mcp</t>
  </si>
  <si>
    <t>&gt;=1.6.0</t>
  </si>
  <si>
    <t>&gt;=1.9.4</t>
  </si>
  <si>
    <t>03656da4dd8549904a102fb833b98cead88354b8</t>
  </si>
  <si>
    <t>https://github.com/infiniflow/ragflow/commit/03656da4dd8549904a102fb833b98cead88354b8</t>
  </si>
  <si>
    <t>https://github.com/infiniflow/ragflow/releases/tag/v0.20.0</t>
  </si>
  <si>
    <t>1675||56906||1||4983||4982||added||tensorboard||==2.14.0||||||74aa7d964a8fbb9a9a4865ecd9ac2bda817c3ef2||applications/Colossal-LLaMA-2/requirements.txt</t>
  </si>
  <si>
    <t>tensorboard</t>
  </si>
  <si>
    <t>74aa7d964a8fbb9a9a4865ecd9ac2bda817c3ef2</t>
  </si>
  <si>
    <t>https://github.com/hpcaitech/ColossalAI/commit/74aa7d964a8fbb9a9a4865ecd9ac2bda817c3ef2</t>
  </si>
  <si>
    <t>https://github.com/hpcaitech/ColossalAI/releases/tag/v0.3.4</t>
  </si>
  <si>
    <t>applications/Colossal-LLaMA-2/requirements.txt</t>
  </si>
  <si>
    <t>2972||100900||2||8824||8823||updated||filelock||==3.12.2 ; python_version &gt;= "3.9" and python_version &lt; "4.0"||==3.12.2 ; python_version &gt;= "3.9" and python_version &lt; "3.13"||||16fadcec5711ff232977b38c74a1c8829af6a63b||server/requirements.txt</t>
  </si>
  <si>
    <t>filelock</t>
  </si>
  <si>
    <t>16fadcec5711ff232977b38c74a1c8829af6a63b</t>
  </si>
  <si>
    <t>https://github.com/huggingface/text-generation-inference/commit/16fadcec5711ff232977b38c74a1c8829af6a63b</t>
  </si>
  <si>
    <t>https://github.com/huggingface/text-generation-inference/releases/tag/v1.0.1</t>
  </si>
  <si>
    <t>3747||163227||1||13359||13358||migration||pypdf2||==1.27.9||||pypdf||a7d843b0d934094403fd4729f7899fba7762cf02||requirements.txt</t>
  </si>
  <si>
    <t>pypdf2</t>
  </si>
  <si>
    <t>pypdf</t>
  </si>
  <si>
    <t>a7d843b0d934094403fd4729f7899fba7762cf02</t>
  </si>
  <si>
    <t>https://github.com/deepdoctection/deepdoctection/commit/a7d843b0d934094403fd4729f7899fba7762cf02</t>
  </si>
  <si>
    <t>https://github.com/deepdoctection/deepdoctection/releases/tag/v.0.29.0</t>
  </si>
  <si>
    <t>439||17600||1||1524||1522||added||torch||==2.3.0||||||21b49874d2ac20883eb238dc88f7f32ec680d654||requirements.txt</t>
  </si>
  <si>
    <t>torch</t>
  </si>
  <si>
    <t>21b49874d2ac20883eb238dc88f7f32ec680d654</t>
  </si>
  <si>
    <t>https://github.com/swirlai/swirl-search/commit/21b49874d2ac20883eb238dc88f7f32ec680d654</t>
  </si>
  <si>
    <t>https://github.com/swirlai/swirl-search/releases/tag/v3.5.0</t>
  </si>
  <si>
    <t>3382||115210||1||11926||11925||removed||tzdata||==2025.2||||||f321ce39bac2723b6d7452c5c522eaa10f391215||requirements.txt</t>
  </si>
  <si>
    <t>tzdata</t>
  </si>
  <si>
    <t>f321ce39bac2723b6d7452c5c522eaa10f391215</t>
  </si>
  <si>
    <t>https://github.com/intel/openvino-ai-plugins-gimp/commit/f321ce39bac2723b6d7452c5c522eaa10f391215</t>
  </si>
  <si>
    <t>https://github.com/intel/openvino-ai-plugins-gimp/releases/tag/3.1.2</t>
  </si>
  <si>
    <t>1881||64011||1||5892||5890||removed||streamlit-cookies-manager||||||||885a7d1cdcff14b8a20653d92b073e93d2b9ca6b||requirements.txt</t>
  </si>
  <si>
    <t>streamlit-cookies-manager</t>
  </si>
  <si>
    <t>885a7d1cdcff14b8a20653d92b073e93d2b9ca6b</t>
  </si>
  <si>
    <t>https://github.com/stanford-oval/storm/commit/885a7d1cdcff14b8a20653d92b073e93d2b9ca6b</t>
  </si>
  <si>
    <t>https://github.com/stanford-oval/storm/releases/tag/v0.2.4</t>
  </si>
  <si>
    <t>2282||82290||1||7239||7238||updated||accelerate||==0.26.1||==1.1.0||||02ce520b7e5d3a2980fcefa63d8593d8c9e66c58||requirements.txt</t>
  </si>
  <si>
    <t>1.0.1</t>
  </si>
  <si>
    <t>02ce520b7e5d3a2980fcefa63d8593d8c9e66c58</t>
  </si>
  <si>
    <t>https://github.com/axolotl-ai-cloud/axolotl/commit/02ce520b7e5d3a2980fcefa63d8593d8c9e66c58</t>
  </si>
  <si>
    <t>https://github.com/axolotl-ai-cloud/axolotl/releases/tag/v0.5.0</t>
  </si>
  <si>
    <t>1676||56906||1||4982||4981||added||requests||==2.31.0||||||e53e729d8ed3571835b259b04efe474e51f4624a||applications/ColossalQA/requirements.txt</t>
  </si>
  <si>
    <t>requests</t>
  </si>
  <si>
    <t>e53e729d8ed3571835b259b04efe474e51f4624a</t>
  </si>
  <si>
    <t>https://github.com/hpcaitech/ColossalAI/commit/e53e729d8ed3571835b259b04efe474e51f4624a</t>
  </si>
  <si>
    <t>https://github.com/hpcaitech/ColossalAI/releases/tag/v0.3.5</t>
  </si>
  <si>
    <t>applications/ColossalQA/requirements.txt</t>
  </si>
  <si>
    <t>3350||114400||1||11901||11900||added||qrcode||&gt;=7.4.2||||||e331791728fb948aa621d6a96e53d405a7c7d955||requirements.txt</t>
  </si>
  <si>
    <t>qrcode</t>
  </si>
  <si>
    <t>&gt;=7.4.2</t>
  </si>
  <si>
    <t>e331791728fb948aa621d6a96e53d405a7c7d955</t>
  </si>
  <si>
    <t>https://github.com/pnmartinez/simple-computer-use/commit/e331791728fb948aa621d6a96e53d405a7c7d955</t>
  </si>
  <si>
    <t>https://github.com/pnmartinez/simple-computer-use/releases/tag/0.2</t>
  </si>
  <si>
    <t>1045||37457||1||2830||2826||removed||transformers||||||||bb771d70277f3b5e932e670ad7071f72f520dea4||requirements.txt</t>
  </si>
  <si>
    <t>transformers</t>
  </si>
  <si>
    <t>bb771d70277f3b5e932e670ad7071f72f520dea4</t>
  </si>
  <si>
    <t>https://github.com/foundation-model-stack/aiu-fms-testing-utils/commit/bb771d70277f3b5e932e670ad7071f72f520dea4</t>
  </si>
  <si>
    <t>https://github.com/foundation-model-stack/aiu-fms-testing-utils/releases/tag/v0.1.0</t>
  </si>
  <si>
    <t>2840||97616||1||8469||8468||added||torchvision||||||||12905bc3b7ce512eb638059b561bcfcd00ee8dc1||requirements.txt</t>
  </si>
  <si>
    <t>torchvision</t>
  </si>
  <si>
    <t>1997||68238||1||6181||6180||migration||py-stringmatching||||||stringcompare||b21bebd8b7d10c31af395757c97e3316bc5e47a9||pyproject.toml</t>
  </si>
  <si>
    <t>py-stringmatching</t>
  </si>
  <si>
    <t>stringcompare</t>
  </si>
  <si>
    <t>b21bebd8b7d10c31af395757c97e3316bc5e47a9</t>
  </si>
  <si>
    <t>https://github.com/AI-team-UoA/pyJedAI/commit/b21bebd8b7d10c31af395757c97e3316bc5e47a9</t>
  </si>
  <si>
    <t>https://github.com/AI-team-UoA/pyJedAI/releases/tag/0.3.4</t>
  </si>
  <si>
    <t>1998||68238||1||6180||6179||migration||stringcompare||@ git+https://github.com/OlivierBinette/StringCompare.git@release||||py-stringcompare||79b3f305174926ee44527e06b110707c96a8ff83||pyproject.toml</t>
  </si>
  <si>
    <t>@ git+https://github.com/OlivierBinette/StringCompare.git@release</t>
  </si>
  <si>
    <t>py-stringcompare</t>
  </si>
  <si>
    <t>79b3f305174926ee44527e06b110707c96a8ff83</t>
  </si>
  <si>
    <t>https://github.com/AI-team-UoA/pyJedAI/commit/79b3f305174926ee44527e06b110707c96a8ff83</t>
  </si>
  <si>
    <t>https://github.com/AI-team-UoA/pyJedAI/releases/tag/0.3.5</t>
  </si>
  <si>
    <t>466||18376||3||1603||1602||added||django-cron||==0.5.1||||||fcd508250ea5c38507bbf92c6eb9a226124effd7||webapp/webapp/requirements.txt</t>
  </si>
  <si>
    <t>django-cron</t>
  </si>
  <si>
    <t>fcd508250ea5c38507bbf92c6eb9a226124effd7</t>
  </si>
  <si>
    <t>https://github.com/CogStack/MedCAT/commit/fcd508250ea5c38507bbf92c6eb9a226124effd7</t>
  </si>
  <si>
    <t>https://github.com/CogStack/MedCAT/releases/tag/v1.2.8</t>
  </si>
  <si>
    <t>webapp/webapp/requirements.txt</t>
  </si>
  <si>
    <t>2237||76664||1||6947||6946||migration||pynvml||||||nvidia-ml-py||82ce4ae815d6cab4ffea97427dfa1e0b0ff59f93||requirements/requirements.txt</t>
  </si>
  <si>
    <t>82ce4ae815d6cab4ffea97427dfa1e0b0ff59f93</t>
  </si>
  <si>
    <t>https://github.com/deepspeedai/DeepSpeed/commit/82ce4ae815d6cab4ffea97427dfa1e0b0ff59f93</t>
  </si>
  <si>
    <t>https://github.com/deepspeedai/DeepSpeed/releases/tag/v0.14.3</t>
  </si>
  <si>
    <t>requirements/requirements.txt</t>
  </si>
  <si>
    <t>2840||97616||1||8469||8468||added||aiohttp||&gt;=3.9.5||||||b39f167860e992d7554d04d18e4d3d67fadb3a9a||requirements.txt</t>
  </si>
  <si>
    <t>aiohttp</t>
  </si>
  <si>
    <t>&gt;=3.9.5</t>
  </si>
  <si>
    <t>b39f167860e992d7554d04d18e4d3d67fadb3a9a</t>
  </si>
  <si>
    <t>https://github.com/koito19960406/ZenSVI/commit/b39f167860e992d7554d04d18e4d3d67fadb3a9a</t>
  </si>
  <si>
    <t>3322||111122||1||11305||11304||added||pytest-ruff||^0.0.6||||||d5f5d33a3a969104eb656284f4e1232bcf1d82f4||pyproject.toml</t>
  </si>
  <si>
    <t>pytest-ruff</t>
  </si>
  <si>
    <t>^0.0.6</t>
  </si>
  <si>
    <t>d5f5d33a3a969104eb656284f4e1232bcf1d82f4</t>
  </si>
  <si>
    <t>https://github.com/helpmefindaname/transformer-smaller-training-vocab/commit/d5f5d33a3a969104eb656284f4e1232bcf1d82f4</t>
  </si>
  <si>
    <t>https://github.com/helpmefindaname/transformer-smaller-training-vocab/releases/tag/0.2.4</t>
  </si>
  <si>
    <t>1465||55589||1||4569||4568||added||einops||==0.7.0||||||16866336b74743706c6d1cd8c6aa650574176f3f||inference/requirements.txt</t>
  </si>
  <si>
    <t>einops</t>
  </si>
  <si>
    <t>16866336b74743706c6d1cd8c6aa650574176f3f</t>
  </si>
  <si>
    <t>https://github.com/ShishirPatil/gorilla/commit/16866336b74743706c6d1cd8c6aa650574176f3f</t>
  </si>
  <si>
    <t>https://github.com/ShishirPatil/gorilla/releases/tag/v0.3</t>
  </si>
  <si>
    <t>inference/requirements.txt</t>
  </si>
  <si>
    <t>1676||56906||1||4982||4981||added||langchain||==0.0.330||||||e53e729d8ed3571835b259b04efe474e51f4624a||applications/ColossalQA/requirements.txt</t>
  </si>
  <si>
    <t>langchain</t>
  </si>
  <si>
    <t>2078||72168||1||6460||6459||added||toml||==0.10.2||||||6a168cc8edbf7cf84fa9f51e3b981ee3f1acba02||scripts/stable/requirements.txt</t>
  </si>
  <si>
    <t>toml</t>
  </si>
  <si>
    <t>6a168cc8edbf7cf84fa9f51e3b981ee3f1acba02</t>
  </si>
  <si>
    <t>https://github.com/Akegarasu/lora-scripts/commit/6a168cc8edbf7cf84fa9f51e3b981ee3f1acba02</t>
  </si>
  <si>
    <t>https://github.com/Akegarasu/lora-scripts/releases/tag/v1.10.0</t>
  </si>
  <si>
    <t>scripts/stable/requirements.txt</t>
  </si>
  <si>
    <t>2262||77688||1||7049||7046||added||soundfile||||||||e015d1830a2baa7c9fab0fda019f52322b5e93d4||requirements.txt</t>
  </si>
  <si>
    <t>soundfile</t>
  </si>
  <si>
    <t>e015d1830a2baa7c9fab0fda019f52322b5e93d4</t>
  </si>
  <si>
    <t>https://github.com/M-Chimiste/TheseusInsight/commit/e015d1830a2baa7c9fab0fda019f52322b5e93d4</t>
  </si>
  <si>
    <t>https://github.com/M-Chimiste/TheseusInsight/releases/tag/v0.9.0</t>
  </si>
  <si>
    <t>2915||98624||1||8563||8562||removed||lm-dataformat||||||||bcb69cb949be9237eebc9d6ca162fbaaaa0fe32a||requirements.txt</t>
  </si>
  <si>
    <t>lm-dataformat</t>
  </si>
  <si>
    <t>bcb69cb949be9237eebc9d6ca162fbaaaa0fe32a</t>
  </si>
  <si>
    <t>https://github.com/alibaba/Pai-Megatron-Patch/commit/bcb69cb949be9237eebc9d6ca162fbaaaa0fe32a</t>
  </si>
  <si>
    <t>https://github.com/alibaba/Pai-Megatron-Patch/releases/tag/v0.9.2</t>
  </si>
  <si>
    <t>3262||109354||1||11141||11140||migration||typer||&gt;=0.9.0||||typer-slim||5de087142c5c034a493b6feeeab3e10c8590c6c4||pyproject.toml</t>
  </si>
  <si>
    <t>typer</t>
  </si>
  <si>
    <t>&gt;=0.9.0</t>
  </si>
  <si>
    <t>typer-slim</t>
  </si>
  <si>
    <t>5de087142c5c034a493b6feeeab3e10c8590c6c4</t>
  </si>
  <si>
    <t>https://github.com/ku-nlp/kwja/commit/5de087142c5c034a493b6feeeab3e10c8590c6c4</t>
  </si>
  <si>
    <t>https://github.com/ku-nlp/kwja/releases/tag/v2.4.0</t>
  </si>
  <si>
    <t>3861||189983||1||13567||13566||removed||pymorphy2||==0.9.1||||||da6379b82ebd4e4f75250486de57d3311f79a3cb||requirements.txt</t>
  </si>
  <si>
    <t>pymorphy2</t>
  </si>
  <si>
    <t>da6379b82ebd4e4f75250486de57d3311f79a3cb</t>
  </si>
  <si>
    <t>https://github.com/deeppavlov/DeepPavlov/commit/da6379b82ebd4e4f75250486de57d3311f79a3cb</t>
  </si>
  <si>
    <t>https://github.com/deeppavlov/DeepPavlov/releases/tag/1.1.0</t>
  </si>
  <si>
    <t>2872||97877||1||8506||8505||updated||cn2an||0.5.22||==0.5.22||||d3c07794b5220084d09e8cd5caf193dcf757a4f7||pyproject.toml</t>
  </si>
  <si>
    <t>cn2an</t>
  </si>
  <si>
    <t>0.5.22</t>
  </si>
  <si>
    <t>d3c07794b5220084d09e8cd5caf193dcf757a4f7</t>
  </si>
  <si>
    <t>https://github.com/infiniflow/ragflow/commit/d3c07794b5220084d09e8cd5caf193dcf757a4f7</t>
  </si>
  <si>
    <t>771||23507||1||2110||2109||updated||pymupdf||(&gt;=1.24.1)||&gt;=1.24.1||||cae669fce14ebf12d069de809456a3d4915c50da||pyproject.toml</t>
  </si>
  <si>
    <t>pymupdf</t>
  </si>
  <si>
    <t>(&gt;=1.24.1)</t>
  </si>
  <si>
    <t>&gt;=1.24.1</t>
  </si>
  <si>
    <t>cae669fce14ebf12d069de809456a3d4915c50da</t>
  </si>
  <si>
    <t>https://github.com/pixeltable/pixeltable/commit/cae669fce14ebf12d069de809456a3d4915c50da</t>
  </si>
  <si>
    <t>https://github.com/pixeltable/pixeltable/releases/tag/v0.4.6</t>
  </si>
  <si>
    <t>937||34392||1||2649||2648||updated||safetensors||~=0.4.5 ; python_version &gt;= "3.11" and python_version &lt; "3.12"||~=0.5.3 ; python_version &gt;= "3.11" and python_version &lt; "3.12"||||ab3dcb0813273ae9cbc397f0fb83639dc2dabd74||requirements.txt</t>
  </si>
  <si>
    <t>~=0.4.5 ; python_version &gt;= "3.11" and python_version &lt; "3.12"</t>
  </si>
  <si>
    <t>~=0.5.3 ; python_version &gt;= "3.11" and python_version &lt; "3.12"</t>
  </si>
  <si>
    <t>ab3dcb0813273ae9cbc397f0fb83639dc2dabd74</t>
  </si>
  <si>
    <t>https://github.com/aiverify-foundation/moonshot-data/commit/ab3dcb0813273ae9cbc397f0fb83639dc2dabd74</t>
  </si>
  <si>
    <t>https://github.com/aiverify-foundation/moonshot-data/releases/tag/0.6.3</t>
  </si>
  <si>
    <t>924||34392||1||2662||2661||updated||packaging||==24.0 ; python_version &gt;= "3.11" and python_version &lt; "3.12"||==24.1 ; python_version &gt;= "3.11" and python_version &lt; "3.12"||||7bc6f62e310e9c84eb5c483166b204035ba94e25||requirements.txt</t>
  </si>
  <si>
    <t>7bc6f62e310e9c84eb5c483166b204035ba94e25</t>
  </si>
  <si>
    <t>https://github.com/aiverify-foundation/moonshot-data/commit/7bc6f62e310e9c84eb5c483166b204035ba94e25</t>
  </si>
  <si>
    <t>https://github.com/aiverify-foundation/moonshot-data/releases/tag/0.4.4</t>
  </si>
  <si>
    <t>3343||113256||3||11561||11555||added||pre-commit||||||||b00f77d8559b48d57a33c0132a5ba1c81891a536||requirements.txt</t>
  </si>
  <si>
    <t>pre-commit</t>
  </si>
  <si>
    <t>222bf315d70b57b7a47a9e861dcae864867ab63a</t>
  </si>
  <si>
    <t>https://github.com/verl-project/verl/commit/222bf315d70b57b7a47a9e861dcae864867ab63a</t>
  </si>
  <si>
    <t>https://github.com/volcengine/verl/releases/tag/v0.5.0</t>
  </si>
  <si>
    <t>548||20474||1||1716||1715||added||pydantic||^2.7.4||||||dffb77b13a781720927b986d4f0cacea16d5ce3f||libs/ragulate/pyproject.toml</t>
  </si>
  <si>
    <t>pydantic</t>
  </si>
  <si>
    <t>^2.7.4</t>
  </si>
  <si>
    <t>dffb77b13a781720927b986d4f0cacea16d5ce3f</t>
  </si>
  <si>
    <t>https://github.com/datastax/ragstack-ai/commit/dffb77b13a781720927b986d4f0cacea16d5ce3f</t>
  </si>
  <si>
    <t>https://github.com/datastax/ragstack-ai/releases/tag/ragstack-ai-1.1.0</t>
  </si>
  <si>
    <t>libs/ragulate/pyproject.toml</t>
  </si>
  <si>
    <t>4189||233801||1||15053||15052||removed||httpx||==0.25.2||||||10f618cbbc60956873c76456fbbe4e61040aa93b||grutopia_extension/agents/mobile_manipulation_agent/requirements.txt</t>
  </si>
  <si>
    <t>httpx</t>
  </si>
  <si>
    <t>10f618cbbc60956873c76456fbbe4e61040aa93b</t>
  </si>
  <si>
    <t>https://github.com/OpenRobotLab/GRUtopia/commit/10f618cbbc60956873c76456fbbe4e61040aa93b</t>
  </si>
  <si>
    <t>https://github.com/InternRobotics/InternUtopia/releases/tag/v2.2.0</t>
  </si>
  <si>
    <t>grutopia_extension/agents/mobile_manipulation_agent/requirements.txt</t>
  </si>
  <si>
    <t>3323||111122||1||11304||11303||migration||sphinx-rtd-theme||^1.2.0||||pydata-sphinx-theme||5f8a35415a54a01d3876ecd7f7a4e6a6a86586f5||pyproject.toml</t>
  </si>
  <si>
    <t>sphinx-rtd-theme</t>
  </si>
  <si>
    <t>^1.2.0</t>
  </si>
  <si>
    <t>pydata-sphinx-theme</t>
  </si>
  <si>
    <t>5f8a35415a54a01d3876ecd7f7a4e6a6a86586f5</t>
  </si>
  <si>
    <t>https://github.com/helpmefindaname/transformer-smaller-training-vocab/commit/5f8a35415a54a01d3876ecd7f7a4e6a6a86586f5</t>
  </si>
  <si>
    <t>https://github.com/helpmefindaname/transformer-smaller-training-vocab/releases/tag/0.3.0</t>
  </si>
  <si>
    <t>1881||64011||1||5892||5890||removed||pdfkit||==1.0.0||||||885a7d1cdcff14b8a20653d92b073e93d2b9ca6b||requirements.txt</t>
  </si>
  <si>
    <t>pdfkit</t>
  </si>
  <si>
    <t>1134||40772||1||2992||2991||updated||transformers||4.53.0||4.56.1||||85f0ea8e7a28eabcaa143cdefaf3965d362ef2b6||genai-engine/pyproject.toml</t>
  </si>
  <si>
    <t>4.53.0</t>
  </si>
  <si>
    <t>4.56.1</t>
  </si>
  <si>
    <t>85f0ea8e7a28eabcaa143cdefaf3965d362ef2b6</t>
  </si>
  <si>
    <t>https://github.com/arthur-ai/arthur-engine/commit/85f0ea8e7a28eabcaa143cdefaf3965d362ef2b6</t>
  </si>
  <si>
    <t>https://github.com/arthur-ai/arthur-engine/releases/tag/2.1.79</t>
  </si>
  <si>
    <t>genai-engine/pyproject.toml</t>
  </si>
  <si>
    <t>25||1651||1||138||136||added||opencv-python||==4.9.0.80||||||fe6e02d75536ec597e665c5a7c3c0866958bee5b||requirements.txt</t>
  </si>
  <si>
    <t>fe6e02d75536ec597e665c5a7c3c0866958bee5b</t>
  </si>
  <si>
    <t>https://github.com/Bismuth-Consultancy-BV/MLOPs/commit/fe6e02d75536ec597e665c5a7c3c0866958bee5b</t>
  </si>
  <si>
    <t>https://github.com/Bismuth-Consultancy-BV/MLOPs/releases/tag/3.0</t>
  </si>
  <si>
    <t>95||6567||1||294||293||migration||pycryptodome||&gt;=3.10.1||||cryptography||515280566c00fa69bbfede900aa844bec0316f1a||presidio-anonymizer/pyproject.toml</t>
  </si>
  <si>
    <t>pycryptodome</t>
  </si>
  <si>
    <t>&gt;=3.10.1</t>
  </si>
  <si>
    <t>cryptography</t>
  </si>
  <si>
    <t>515280566c00fa69bbfede900aa844bec0316f1a</t>
  </si>
  <si>
    <t>https://github.com/microsoft/presidio/commit/515280566c00fa69bbfede900aa844bec0316f1a</t>
  </si>
  <si>
    <t>https://github.com/microsoft/presidio/releases/tag/2.2.358</t>
  </si>
  <si>
    <t>presidio-anonymizer/pyproject.toml</t>
  </si>
  <si>
    <t>1133||40772||1||2993||2992||updated||importlib-metadata||8.5.0||8.7.0||||d4928e59a3d89f3ed94c03f960db809a3b6686ed||genai-engine/pyproject.toml</t>
  </si>
  <si>
    <t>importlib-metadata</t>
  </si>
  <si>
    <t>8.5.0</t>
  </si>
  <si>
    <t>8.7.0</t>
  </si>
  <si>
    <t>d4928e59a3d89f3ed94c03f960db809a3b6686ed</t>
  </si>
  <si>
    <t>https://github.com/arthur-ai/arthur-engine/commit/d4928e59a3d89f3ed94c03f960db809a3b6686ed</t>
  </si>
  <si>
    <t>https://github.com/arthur-ai/arthur-engine/releases/tag/2.1.71</t>
  </si>
  <si>
    <t>23||1649||1||98||97||removed||uvicorn||||||||17036587d84d2b42e0e9eb501d175e78d552c063||neural_solution/requirements.txt</t>
  </si>
  <si>
    <t>17036587d84d2b42e0e9eb501d175e78d552c063</t>
  </si>
  <si>
    <t>https://github.com/intel/neural-compressor/commit/17036587d84d2b42e0e9eb501d175e78d552c063</t>
  </si>
  <si>
    <t>https://github.com/intel/neural-compressor/releases/tag/v3.0</t>
  </si>
  <si>
    <t>neural_solution/requirements.txt</t>
  </si>
  <si>
    <t>2994||100900||2||8798||8779||added||opentelemetry-api||^1.32.0||||||683ff53fa3d29d6e0660b4f874d5d2e74a75dfa7||backends/gaudi/server/pyproject.toml</t>
  </si>
  <si>
    <t>opentelemetry-api</t>
  </si>
  <si>
    <t>^1.32.0</t>
  </si>
  <si>
    <t>backends/gaudi/server/pyproject.toml</t>
  </si>
  <si>
    <t>680||21283||38||1921||1856||added||ipywidgets||==8.1.5||||||e41887d90de87c0e8b9e1516949615341a305550||.devcontainer/requirements.txt</t>
  </si>
  <si>
    <t>ipywidgets</t>
  </si>
  <si>
    <t>e41887d90de87c0e8b9e1516949615341a305550</t>
  </si>
  <si>
    <t>https://github.com/mlflow/mlflow/commit/d2ba29d278dd64e2db36ab231d3f862f53908e15</t>
  </si>
  <si>
    <t>3263||109354||1||11140||11139||migration||pytorch-lightning||~2.3.3||||lightning||85bd0dd2f95004aed0518e159e6558647701406a||pyproject.toml</t>
  </si>
  <si>
    <t>pytorch-lightning</t>
  </si>
  <si>
    <t>~2.3.3</t>
  </si>
  <si>
    <t>85bd0dd2f95004aed0518e159e6558647701406a</t>
  </si>
  <si>
    <t>https://github.com/ku-nlp/kwja/commit/85bd0dd2f95004aed0518e159e6558647701406a</t>
  </si>
  <si>
    <t>https://github.com/ku-nlp/kwja/releases/tag/v2.5.0</t>
  </si>
  <si>
    <t>1531||55594||1||4675||4674||added||retrying||==1.3.3||||||35d2b4ff730dd42ae9e52d30dc72bb310195e19e||requirements.txt</t>
  </si>
  <si>
    <t>retrying</t>
  </si>
  <si>
    <t>35d2b4ff730dd42ae9e52d30dc72bb310195e19e</t>
  </si>
  <si>
    <t>https://github.com/snowflakedb/snowflake-ml-python/commit/35d2b4ff730dd42ae9e52d30dc72bb310195e19e</t>
  </si>
  <si>
    <t>https://github.com/snowflakedb/snowflake-ml-python/releases/tag/1.1.2</t>
  </si>
  <si>
    <t>713||22246||1||2056||2054||updated||torch||~=2.0||&gt;=2.0,&lt;3||||6de46d99b35df53021bbc95aeffcb7bb41efa131||pyproject.toml</t>
  </si>
  <si>
    <t>~=2.0</t>
  </si>
  <si>
    <t>&gt;=2.0,&lt;3</t>
  </si>
  <si>
    <t>6de46d99b35df53021bbc95aeffcb7bb41efa131</t>
  </si>
  <si>
    <t>https://github.com/bitsandbytes-foundation/bitsandbytes/commit/6de46d99b35df53021bbc95aeffcb7bb41efa131</t>
  </si>
  <si>
    <t>https://github.com/bitsandbytes-foundation/bitsandbytes/releases/tag/0.45.3</t>
  </si>
  <si>
    <t>1376||54253||1||4418||4417||updated||psutil||||&gt;=5.8.0||||98164113066f1fca4a67b73161e50b21bab0d5cf||pyproject.toml</t>
  </si>
  <si>
    <t>psutil</t>
  </si>
  <si>
    <t>&gt;=5.8.0</t>
  </si>
  <si>
    <t>98164113066f1fca4a67b73161e50b21bab0d5cf</t>
  </si>
  <si>
    <t>https://github.com/rendeirolab/LazySlide/commit/98164113066f1fca4a67b73161e50b21bab0d5cf</t>
  </si>
  <si>
    <t>3363||115208||1||11915||11914||added||opencv-python||||||||bd0fee0bf308693fbbc50edee71efb15866c22e9||pyproject.toml</t>
  </si>
  <si>
    <t>bd0fee0bf308693fbbc50edee71efb15866c22e9</t>
  </si>
  <si>
    <t>https://github.com/yolain/ComfyUI-Easy-Use/commit/bd0fee0bf308693fbbc50edee71efb15866c22e9</t>
  </si>
  <si>
    <t>https://github.com/yolain/ComfyUI-Easy-Use/releases/tag/v1.2.1</t>
  </si>
  <si>
    <t>2843||97616||1||8466||8465||added||gradio||4.29.0||||||17bb855dc56c130c0145d1de85816fb7db81e0bd||pyproject.toml</t>
  </si>
  <si>
    <t>gradio</t>
  </si>
  <si>
    <t>4.29.0</t>
  </si>
  <si>
    <t>17bb855dc56c130c0145d1de85816fb7db81e0bd</t>
  </si>
  <si>
    <t>https://github.com/koito19960406/ZenSVI/commit/17bb855dc56c130c0145d1de85816fb7db81e0bd</t>
  </si>
  <si>
    <t>https://github.com/koito19960406/ZenSVI/releases/tag/v1.3.0</t>
  </si>
  <si>
    <t>3559||140184||1||12708||12707||removed||uvicorn||==0.19.0||||||1a08ab7ac1a432a45c713b14faa9323fb3c4841e||components/model_service/requirements.txt</t>
  </si>
  <si>
    <t>4176||230308||1||14969||14968||removed||httptools||==0.6.0||||||af44639f078c5c1fe01d7defb3418634b76c98dc||pyproject.toml</t>
  </si>
  <si>
    <t>httptools</t>
  </si>
  <si>
    <t>af44639f078c5c1fe01d7defb3418634b76c98dc</t>
  </si>
  <si>
    <t>https://github.com/mit-submit/A2rchi/commit/af44639f078c5c1fe01d7defb3418634b76c98dc</t>
  </si>
  <si>
    <t>https://github.com/mit-submit/A2rchi/releases/tag/v1.0.0</t>
  </si>
  <si>
    <t>3205||105887||1||10419||10418||added||uvicorn||&gt;=0.30.6||||||088f0069621eec1a6226734f691bc4bddbe6deae||sharktank/requirements.txt</t>
  </si>
  <si>
    <t>&gt;=0.30.6</t>
  </si>
  <si>
    <t>088f0069621eec1a6226734f691bc4bddbe6deae</t>
  </si>
  <si>
    <t>https://github.com/nod-ai/shark-ai/commit/088f0069621eec1a6226734f691bc4bddbe6deae</t>
  </si>
  <si>
    <t>https://github.com/nod-ai/shark-ai/releases/tag/v3.2.0</t>
  </si>
  <si>
    <t>sharktank/requirements.txt</t>
  </si>
  <si>
    <t>16||1649||1||109||108||removed||matplotlib||||||||14eaa0d064e9f9cbc2d5bd05af12b7854160f563||requirements.txt</t>
  </si>
  <si>
    <t>matplotlib</t>
  </si>
  <si>
    <t>14eaa0d064e9f9cbc2d5bd05af12b7854160f563</t>
  </si>
  <si>
    <t>https://github.com/intel/neural-compressor/commit/14eaa0d064e9f9cbc2d5bd05af12b7854160f563</t>
  </si>
  <si>
    <t>https://github.com/intel/neural-compressor/releases/tag/v2.1</t>
  </si>
  <si>
    <t>2932||99225||1||8625||8624||removed||xmltodict||==0.13.0||||||c5eab1cc6e695149d37a08a0bd4bcf5a10a0e027||requirements.txt</t>
  </si>
  <si>
    <t>xmltodict</t>
  </si>
  <si>
    <t>763||23507||1||2121||2120||migration||google-generativeai||^0.8.4||||google-genai||32615d3ea0b47f657e5b29f11c905c5a6438c0b3||pyproject.toml</t>
  </si>
  <si>
    <t>google-generativeai</t>
  </si>
  <si>
    <t>^0.8.4</t>
  </si>
  <si>
    <t>google-genai</t>
  </si>
  <si>
    <t>32615d3ea0b47f657e5b29f11c905c5a6438c0b3</t>
  </si>
  <si>
    <t>https://github.com/pixeltable/pixeltable/commit/32615d3ea0b47f657e5b29f11c905c5a6438c0b3</t>
  </si>
  <si>
    <t>https://github.com/pixeltable/pixeltable/releases/tag/v0.3.14</t>
  </si>
  <si>
    <t>680||21283||38||1921||1856||added||blacken-docs||==1.18.0||||||e41887d90de87c0e8b9e1516949615341a305550||.devcontainer/requirements.txt</t>
  </si>
  <si>
    <t>blacken-docs</t>
  </si>
  <si>
    <t>https://github.com/mlflow/mlflow/commit/e41887d90de87c0e8b9e1516949615341a305550</t>
  </si>
  <si>
    <t>944||35527||1||2673||2672||added||jieba-fast||||||||be92cfb9d69de5cb6ee8c194fe3ed72ed67b7be1||plugins/gpt_sovits/GPT_SoVITS/requirements.txt</t>
  </si>
  <si>
    <t>jieba-fast</t>
  </si>
  <si>
    <t>be92cfb9d69de5cb6ee8c194fe3ed72ed67b7be1</t>
  </si>
  <si>
    <t>https://github.com/0Xiaohei0/LocalAIVtuber/commit/be92cfb9d69de5cb6ee8c194fe3ed72ed67b7be1</t>
  </si>
  <si>
    <t>https://github.com/0Xiaohei0/LocalAIVtuber/releases/tag/v0.2.0</t>
  </si>
  <si>
    <t>plugins/gpt_sovits/GPT_SoVITS/requirements.txt</t>
  </si>
  <si>
    <t>1275||48921||5||3440||3439||updated||google-analytics-data||==0.14.2||==0.15.0; python_version &gt;= '3.11'||||7aee539e578cc8b70d1ef7b3a2ec9359573831b1||mage_integrations/requirements.txt</t>
  </si>
  <si>
    <t>google-analytics-data</t>
  </si>
  <si>
    <t>7aee539e578cc8b70d1ef7b3a2ec9359573831b1</t>
  </si>
  <si>
    <t>https://github.com/mage-ai/mage-ai/commit/7aee539e578cc8b70d1ef7b3a2ec9359573831b1</t>
  </si>
  <si>
    <t>https://github.com/mage-ai/mage-ai/releases/tag/0.9.75</t>
  </si>
  <si>
    <t>mage_integrations/requirements.txt</t>
  </si>
  <si>
    <t>4025||212418||1||14522||14521||migration||tensorflow||||||torch||b12e8fb32e18f2ca6068e952186a6ed081ca5ae7||requirements.txt</t>
  </si>
  <si>
    <t>tensorflow</t>
  </si>
  <si>
    <t>b12e8fb32e18f2ca6068e952186a6ed081ca5ae7</t>
  </si>
  <si>
    <t>https://github.com/niklases/PyPEF/commit/b12e8fb32e18f2ca6068e952186a6ed081ca5ae7</t>
  </si>
  <si>
    <t>https://github.com/niklases/PyPEF/releases/tag/v0.4.1</t>
  </si>
  <si>
    <t>118||7704||1||639||632||added||nvidia-modelopt||[onnx]&gt;=0.27.0||||||c564438df61e8a4de078092d64edfe405e7dee01||pyproject.toml</t>
  </si>
  <si>
    <t>nvidia-modelopt</t>
  </si>
  <si>
    <t>[onnx]&gt;=0.27.0</t>
  </si>
  <si>
    <t>c564438df61e8a4de078092d64edfe405e7dee01</t>
  </si>
  <si>
    <t>https://github.com/triton-inference-server/model_navigator/commit/c564438df61e8a4de078092d64edfe405e7dee01</t>
  </si>
  <si>
    <t>https://github.com/triton-inference-server/model_navigator/releases/tag/v0.14.0</t>
  </si>
  <si>
    <t>2994||100900||2||8798||8779||added||jsonschema||==4.23.0 ; python_version &gt;= "3.9" and python_version &lt; "3.13"||||||8c2c348f3c4d1101e862af493b44e4986119b557||backends/gaudi/server/requirements.txt</t>
  </si>
  <si>
    <t>jsonschema</t>
  </si>
  <si>
    <t>8c2c348f3c4d1101e862af493b44e4986119b557</t>
  </si>
  <si>
    <t>https://github.com/huggingface/text-generation-inference/commit/8c2c348f3c4d1101e862af493b44e4986119b557</t>
  </si>
  <si>
    <t>39||2403||1||147||146||removed||pyonmttok||==1.37.0||||||4fbe7d46ad45d95b4d4c1d5aa49ba590709f6772||requirements.txt</t>
  </si>
  <si>
    <t>pyonmttok</t>
  </si>
  <si>
    <t>dd19e0638859339780b7bcbfae15baafe047edca</t>
  </si>
  <si>
    <t>https://github.com/stanford-crfm/helm/commit/dd19e0638859339780b7bcbfae15baafe047edca</t>
  </si>
  <si>
    <t>https://github.com/stanford-crfm/helm/releases/tag/v0.5.5</t>
  </si>
  <si>
    <t>2636||91957||1||7858||7857||added||kornia||||||||09131a8c32c1b2855aab87d30739841561711abb||requirements.txt</t>
  </si>
  <si>
    <t>kornia</t>
  </si>
  <si>
    <t>09131a8c32c1b2855aab87d30739841561711abb</t>
  </si>
  <si>
    <t>https://github.com/FutureUniant/Tailor/commit/09131a8c32c1b2855aab87d30739841561711abb</t>
  </si>
  <si>
    <t>https://github.com/FutureUniant/Tailor/releases/tag/v0.1.4</t>
  </si>
  <si>
    <t>3945||203758||1||13866||13865||updated||tabulate||^0.9.0||&gt;=0.9.0||||4d56c12968e5ab45eed32bf9c14ab05afd1d8b56||pyproject.toml</t>
  </si>
  <si>
    <t>^0.9.0</t>
  </si>
  <si>
    <t>4d56c12968e5ab45eed32bf9c14ab05afd1d8b56</t>
  </si>
  <si>
    <t>https://github.com/naist-nlp/mbrs/commit/4d56c12968e5ab45eed32bf9c14ab05afd1d8b56</t>
  </si>
  <si>
    <t>https://github.com/naist-nlp/mbrs/releases/tag/v0.1.4</t>
  </si>
  <si>
    <t>733||23507||1||2151||2150||migration||pgserver||==0.1.4||||pixeltable-pgserver||ddcb8e805e8184d365dd6ae2df257ffc3a64146c||pyproject.toml</t>
  </si>
  <si>
    <t>pgserver</t>
  </si>
  <si>
    <t>pixeltable-pgserver</t>
  </si>
  <si>
    <t>ddcb8e805e8184d365dd6ae2df257ffc3a64146c</t>
  </si>
  <si>
    <t>https://github.com/pixeltable/pixeltable/commit/ddcb8e805e8184d365dd6ae2df257ffc3a64146c</t>
  </si>
  <si>
    <t>https://github.com/pixeltable/pixeltable/releases/tag/v0.2.15</t>
  </si>
  <si>
    <t>2866||97877||1||8512||8511||added||markdown||3.6||||||d8a43416f5469d547e151afc1a17336d94d78561||pyproject.toml</t>
  </si>
  <si>
    <t>markdown</t>
  </si>
  <si>
    <t>3.6</t>
  </si>
  <si>
    <t>d8a43416f5469d547e151afc1a17336d94d78561</t>
  </si>
  <si>
    <t>https://github.com/infiniflow/ragflow/commit/d8a43416f5469d547e151afc1a17336d94d78561</t>
  </si>
  <si>
    <t>https://github.com/infiniflow/ragflow/releases/tag/v0.12.0</t>
  </si>
  <si>
    <t>1139||41254||1||3068||3067||added||biopython||||||||8e557c515f86da9dcb711272d75c4a720d22f163||pyproject.toml</t>
  </si>
  <si>
    <t>biopython</t>
  </si>
  <si>
    <t>8e557c515f86da9dcb711272d75c4a720d22f163</t>
  </si>
  <si>
    <t>https://github.com/prescient-design/lobster/commit/8e557c515f86da9dcb711272d75c4a720d22f163</t>
  </si>
  <si>
    <t>3613||149926||1||13077||13076||removed||darglint||&gt;=1.8.1||||||585d3091b8f05739734767ca4c10b2ba721ef6fe||pyproject.toml</t>
  </si>
  <si>
    <t>darglint</t>
  </si>
  <si>
    <t>&gt;=1.8.1</t>
  </si>
  <si>
    <t>942||34392||1||2644||2643||updated||pyreadline3||~=3.5.4 ; sys_platform == "win32" and python_version &gt;= "3.11" and python_version &lt; "3.12"||==3.5.4 ; python_version &gt;= "3.11" and python_version &lt; "3.12" and sys_platform == "win32"||||4a07137cb86e9330757125d22ebc693c11993735||requirements.txt</t>
  </si>
  <si>
    <t>pyreadline3</t>
  </si>
  <si>
    <t>~=3.5.4 ; sys_platform == "win32" and python_version &gt;= "3.11" and python_version &lt; "3.12"</t>
  </si>
  <si>
    <t>4a07137cb86e9330757125d22ebc693c11993735</t>
  </si>
  <si>
    <t>https://github.com/aiverify-foundation/moonshot-data/commit/4a07137cb86e9330757125d22ebc693c11993735</t>
  </si>
  <si>
    <t>https://github.com/aiverify-foundation/moonshot-data/releases/tag/0.7.3</t>
  </si>
  <si>
    <t>782||25052||2||2293||2291||updated||pillow||&gt;=10.4.0||&gt;= 10.4.0||||1be7f0c33ffa8c363c6aa544403320c2c657dce8||argilla-server/pyproject.toml</t>
  </si>
  <si>
    <t>pillow</t>
  </si>
  <si>
    <t>&gt;=10.4.0</t>
  </si>
  <si>
    <t>&gt;= 10.4.0</t>
  </si>
  <si>
    <t>3b1133a041c8f4d21976c2566c11da780b824e77</t>
  </si>
  <si>
    <t>https://github.com/Extralit/extralit/commit/3b1133a041c8f4d21976c2566c11da780b824e77</t>
  </si>
  <si>
    <t>927||34392||1||2659||2658||updated||datasets||==2.14.4 ; python_version &gt;= "3.11" and python_version &lt; "3.12"||==2.21.0 ; python_version &gt;= "3.11" and python_version &lt; "3.12"||||edb401f4f5910d475b9ba698233913cb1450f046||requirements.txt</t>
  </si>
  <si>
    <t>edb401f4f5910d475b9ba698233913cb1450f046</t>
  </si>
  <si>
    <t>https://github.com/aiverify-foundation/moonshot-data/commit/edb401f4f5910d475b9ba698233913cb1450f046</t>
  </si>
  <si>
    <t>https://github.com/aiverify-foundation/moonshot-data/releases/tag/0.4.7</t>
  </si>
  <si>
    <t>3935||201480||1||13777||13776||migration||unidecode||*||||anyascii||a0831dbe00e2e6309cafed82714b17d4b02038e4||pyproject.toml</t>
  </si>
  <si>
    <t>unidecode</t>
  </si>
  <si>
    <t>*</t>
  </si>
  <si>
    <t>anyascii</t>
  </si>
  <si>
    <t>a0831dbe00e2e6309cafed82714b17d4b02038e4</t>
  </si>
  <si>
    <t>https://github.com/medkit-lib/medkit/commit/a0831dbe00e2e6309cafed82714b17d4b02038e4</t>
  </si>
  <si>
    <t>https://github.com/medkit-lib/medkit/releases/tag/0.13.0</t>
  </si>
  <si>
    <t>2339||85311||1||7366||7365||removed||bleach||==3.3.0||||||53063015d59fffd87d16b8716a637e3351a97892||train/requirements.txt</t>
  </si>
  <si>
    <t>bleach</t>
  </si>
  <si>
    <t>2932||99225||1||8625||8624||updated||mistralai||==0.0.8||==1.9.3 \||||e9668b487f4325af265f72acdba97248bb01a222||requirements.txt</t>
  </si>
  <si>
    <t>e9668b487f4325af265f72acdba97248bb01a222</t>
  </si>
  <si>
    <t>https://github.com/wandb/llm-leaderboard/commit/e9668b487f4325af265f72acdba97248bb01a222</t>
  </si>
  <si>
    <t>3141||101979||1||9079||9078||updated||opentelemetry-sdk||&gt;=1.26.0,&lt;1.27.0||&gt;=1.26.0,&lt;1.28.0||||54989da4cf02b4e6f0c6576503471f6cddfb763f||pyproject.toml</t>
  </si>
  <si>
    <t>opentelemetry-sdk</t>
  </si>
  <si>
    <t>&gt;=1.26.0,&lt;1.27.0</t>
  </si>
  <si>
    <t>&gt;=1.26.0,&lt;1.28.0</t>
  </si>
  <si>
    <t>54989da4cf02b4e6f0c6576503471f6cddfb763f</t>
  </si>
  <si>
    <t>https://github.com/opendatahub-io/vllm-tgis-adapter/commit/54989da4cf02b4e6f0c6576503471f6cddfb763f</t>
  </si>
  <si>
    <t>https://github.com/opendatahub-io/vllm-tgis-adapter/releases/tag/0.5.0</t>
  </si>
  <si>
    <t>771||23507||1||2110||2109||removed||pytest-rerunfailures||&gt;=15.1||||||cae669fce14ebf12d069de809456a3d4915c50da||pyproject.toml</t>
  </si>
  <si>
    <t>pytest-rerunfailures</t>
  </si>
  <si>
    <t>&gt;=15.1</t>
  </si>
  <si>
    <t>4027||212418||1||14520||14519||added||numpy||||||||4392c2092a427ab4c62f35b00f14b696da3d0ece||pyproject.toml</t>
  </si>
  <si>
    <t>4368||268650||1||15465||15464||updated||pandas||==2.2.2||==2.2.3||||98e10eaf5c225995a9fa6b34a25b715cd01a542a||requirements.txt</t>
  </si>
  <si>
    <t>pandas</t>
  </si>
  <si>
    <t>39||2403||1||147||146||updated||gitpython||==3.1.43||==3.1.44||||a571d4d20def43707d8888e0563a28f47ba098c6||requirements.txt</t>
  </si>
  <si>
    <t>gitpython</t>
  </si>
  <si>
    <t>a571d4d20def43707d8888e0563a28f47ba098c6</t>
  </si>
  <si>
    <t>https://github.com/stanford-crfm/helm/commit/a571d4d20def43707d8888e0563a28f47ba098c6</t>
  </si>
  <si>
    <t>40||2403||1||146||145||updated||jiter||==0.8.2||==0.10.0||||cb8a491a40136b7a069f73aaa37305b1518216d0||requirements.txt</t>
  </si>
  <si>
    <t>jiter</t>
  </si>
  <si>
    <t>35||2403||1||151||150||updated||sentry-sdk||==1.45.0||==2.1.1||||4fda04b27f3f0d68f557995d68e70f9063c92ddb||requirements.txt</t>
  </si>
  <si>
    <t>sentry-sdk</t>
  </si>
  <si>
    <t>4fda04b27f3f0d68f557995d68e70f9063c92ddb</t>
  </si>
  <si>
    <t>https://github.com/stanford-crfm/helm/commit/4fda04b27f3f0d68f557995d68e70f9063c92ddb</t>
  </si>
  <si>
    <t>https://github.com/stanford-crfm/helm/releases/tag/v0.5.1</t>
  </si>
  <si>
    <t>2077||72168||1||6461||6460||added||prodigyopt||==1.0||||||274f8c9da9ba50a654365f8e178eee796e61af4d||scripts/requirements.txt</t>
  </si>
  <si>
    <t>prodigyopt</t>
  </si>
  <si>
    <t>274f8c9da9ba50a654365f8e178eee796e61af4d</t>
  </si>
  <si>
    <t>https://github.com/Akegarasu/lora-scripts/commit/274f8c9da9ba50a654365f8e178eee796e61af4d</t>
  </si>
  <si>
    <t>https://github.com/Akegarasu/lora-scripts/releases/tag/v1.9.0</t>
  </si>
  <si>
    <t>scripts/requirements.txt</t>
  </si>
  <si>
    <t>937||34392||1||2649||2648||updated||sqlalchemy||~=2.0.34 ; python_version &gt;= "3.11" and python_version &lt; "3.12"||~=2.0.40 ; python_version &gt;= "3.11" and python_version &lt; "3.12"||||ab3dcb0813273ae9cbc397f0fb83639dc2dabd74||requirements.txt</t>
  </si>
  <si>
    <t>sqlalchemy</t>
  </si>
  <si>
    <t>~=2.0.34 ; python_version &gt;= "3.11" and python_version &lt; "3.12"</t>
  </si>
  <si>
    <t>~=2.0.40 ; python_version &gt;= "3.11" and python_version &lt; "3.12"</t>
  </si>
  <si>
    <t>2840||97616||1||8469||8468||updated||requests||&gt;=2.25.1||&gt;=2.26.0||||b39f167860e992d7554d04d18e4d3d67fadb3a9a||requirements.txt</t>
  </si>
  <si>
    <t>&gt;=2.25.1</t>
  </si>
  <si>
    <t>&gt;=2.26.0</t>
  </si>
  <si>
    <t>1463||55589||1||4571||4570||added||rank-bm25||==0.2.2||||||c849d11833ce0d401df4ab5a4d854167ad861684||requirements.txt</t>
  </si>
  <si>
    <t>rank-bm25</t>
  </si>
  <si>
    <t>c849d11833ce0d401df4ab5a4d854167ad861684</t>
  </si>
  <si>
    <t>https://github.com/ShishirPatil/gorilla/commit/c849d11833ce0d401df4ab5a4d854167ad861684</t>
  </si>
  <si>
    <t>40||2403||1||146||145||updated||requests||==2.32.3||==2.32.4||||befe014e0a1b06f700a621f62b2cfed578665b47||requirements.txt</t>
  </si>
  <si>
    <t>268||11941||1||909||908||added||mypy||^1.0||||||de5f2a24b64e75d0eff6e99295092f14dbea54f6||pyproject.toml</t>
  </si>
  <si>
    <t>mypy</t>
  </si>
  <si>
    <t>^1.0</t>
  </si>
  <si>
    <t>de5f2a24b64e75d0eff6e99295092f14dbea54f6</t>
  </si>
  <si>
    <t>https://github.com/corentin-ryr/MultiMedEval/commit/de5f2a24b64e75d0eff6e99295092f14dbea54f6</t>
  </si>
  <si>
    <t>https://github.com/corentin-ryr/MultiMedEval/releases/tag/v1.0.0</t>
  </si>
  <si>
    <t>942||34392||1||2644||2643||updated||scikit-learn||~=1.6.1 ; python_version &gt;= "3.11" and python_version &lt; "3.12"||==1.6.1 ; python_version &gt;= "3.11" and python_version &lt; "3.12"||||4a07137cb86e9330757125d22ebc693c11993735||requirements.txt</t>
  </si>
  <si>
    <t>~=1.6.1 ; python_version &gt;= "3.11" and python_version &lt; "3.12"</t>
  </si>
  <si>
    <t>2863||97877||1||8515||8514||updated||requests||==2.31.0||==2.32.2||||8c2b91d3db30dd9eba272bdcd0f14fe2ad45ee00||requirements.txt</t>
  </si>
  <si>
    <t>8c2b91d3db30dd9eba272bdcd0f14fe2ad45ee00</t>
  </si>
  <si>
    <t>https://github.com/infiniflow/ragflow/commit/8c2b91d3db30dd9eba272bdcd0f14fe2ad45ee00</t>
  </si>
  <si>
    <t>https://github.com/infiniflow/ragflow/releases/tag/v0.9.0</t>
  </si>
  <si>
    <t>1231||46785||1||3373||3372||updated||torch||*||&gt;=2.5.0||||15d82603f189393fd688c6598d22482190d386ce||pyproject.toml</t>
  </si>
  <si>
    <t>&gt;=2.5.0</t>
  </si>
  <si>
    <t>15d82603f189393fd688c6598d22482190d386ce</t>
  </si>
  <si>
    <t>https://github.com/erfanzar/EasyDeL/commit/15d82603f189393fd688c6598d22482190d386ce</t>
  </si>
  <si>
    <t>2866||97877||1||8512||8511||removed||umap||==0.1.1||||||e3b3ec3f7935597af0eafe9cd8b7e595ceca7b9c||requirements.txt</t>
  </si>
  <si>
    <t>umap</t>
  </si>
  <si>
    <t>e3b3ec3f7935597af0eafe9cd8b7e595ceca7b9c</t>
  </si>
  <si>
    <t>https://github.com/infiniflow/ragflow/commit/e3b3ec3f7935597af0eafe9cd8b7e595ceca7b9c</t>
  </si>
  <si>
    <t>1469||55589||1||4565||4564||migration||google-cloud-aiplatform||==1.72.0||||google-genai||30994aa8b349b70ed89e358aea9c48b3396e5ed8||berkeley-function-call-leaderboard/pyproject.toml</t>
  </si>
  <si>
    <t>google-cloud-aiplatform</t>
  </si>
  <si>
    <t>30994aa8b349b70ed89e358aea9c48b3396e5ed8</t>
  </si>
  <si>
    <t>https://github.com/ShishirPatil/gorilla/commit/30994aa8b349b70ed89e358aea9c48b3396e5ed8</t>
  </si>
  <si>
    <t>130||7991||1||693||692||removed||httplib2||==0.22.0||||||6c08b4066fa5f5dc5ba33e822486b6543b10a79f||requirements.txt</t>
  </si>
  <si>
    <t>httplib2</t>
  </si>
  <si>
    <t>6c08b4066fa5f5dc5ba33e822486b6543b10a79f</t>
  </si>
  <si>
    <t>https://github.com/divelab/Sys2Bench/commit/6c08b4066fa5f5dc5ba33e822486b6543b10a79f</t>
  </si>
  <si>
    <t>https://github.com/divelab/Sys2Bench/releases/tag/1.1.0</t>
  </si>
  <si>
    <t>3732||162404||1||13315||13314||migration||commentjson||||||pyjson5||b265edf2fcdfdca44e180ab1a0ed73b1a3bd2017||pyproject.toml</t>
  </si>
  <si>
    <t>pyjson5</t>
  </si>
  <si>
    <t>b265edf2fcdfdca44e180ab1a0ed73b1a3bd2017</t>
  </si>
  <si>
    <t>https://github.com/xming521/WeClone/commit/b265edf2fcdfdca44e180ab1a0ed73b1a3bd2017</t>
  </si>
  <si>
    <t>https://github.com/xming521/WeClone/releases/tag/v0.3.0</t>
  </si>
  <si>
    <t>3559||140184||1||12708||12707||removed||langchain-core||==0.1.4||||||eb673eff2409bb92070471754a942b6ab1aedc91||components/llm_service/requirements.txt</t>
  </si>
  <si>
    <t>langchain-core</t>
  </si>
  <si>
    <t>eb673eff2409bb92070471754a942b6ab1aedc91</t>
  </si>
  <si>
    <t>https://github.com/GoogleCloudPlatform/core-solution-services/commit/eb673eff2409bb92070471754a942b6ab1aedc91</t>
  </si>
  <si>
    <t>components/llm_service/requirements.txt</t>
  </si>
  <si>
    <t>2265||77688||2||7043||7042||removed||spacy-layout||(&gt;=0.0.12,&lt;0.0.13)||||||ee64c2b5dcc8d21ee3257a51d62c58be20a03d03||pyproject.toml</t>
  </si>
  <si>
    <t>spacy-layout</t>
  </si>
  <si>
    <t>(&gt;=0.0.12,&lt;0.0.13)</t>
  </si>
  <si>
    <t>2961||100900||2||8835||8834||added||urllib3||==1.26.15 ; python_version &gt;= "3.9" and python_version &lt; "4"||||||7a1ba58557095734ae0bcd0b43f159b66485837b||server/requirements.txt</t>
  </si>
  <si>
    <t>urllib3</t>
  </si>
  <si>
    <t>396ce5f111f31e6e471b879e47596cec51e4fb50</t>
  </si>
  <si>
    <t>https://github.com/huggingface/text-generation-inference/commit/396ce5f111f31e6e471b879e47596cec51e4fb50</t>
  </si>
  <si>
    <t>34||2403||1||152||151||added||requests-oauthlib||==2.0.0||||||944cc111e16a9a0c5071a7835dae57d6965f22d0||requirements.txt</t>
  </si>
  <si>
    <t>requests-oauthlib</t>
  </si>
  <si>
    <t>1003||35685||1||2733||2732||removed||peft||||||||3acd8617d7098d385652cf3c0806cd230ef2c0ca||pyproject.toml</t>
  </si>
  <si>
    <t>peft</t>
  </si>
  <si>
    <t>3acd8617d7098d385652cf3c0806cd230ef2c0ca</t>
  </si>
  <si>
    <t>https://github.com/PrunaAI/pruna/commit/3acd8617d7098d385652cf3c0806cd230ef2c0ca</t>
  </si>
  <si>
    <t>https://github.com/PrunaAI/pruna/releases/tag/v0.2.7</t>
  </si>
  <si>
    <t>3429||116374||1||12011||12010||updated||numpy||&gt;=1.24.0, &lt;2.2.0||&gt;=1.24.0, &lt;2.3.0||||7b04b6e938e72bbf585e33c2ea07a8e3ef977f3f||pyproject.toml</t>
  </si>
  <si>
    <t>&gt;=1.24.0, &lt;2.2.0</t>
  </si>
  <si>
    <t>&gt;=1.24.0, &lt;2.3.0</t>
  </si>
  <si>
    <t>7b04b6e938e72bbf585e33c2ea07a8e3ef977f3f</t>
  </si>
  <si>
    <t>https://github.com/openvinotoolkit/nncf/commit/7b04b6e938e72bbf585e33c2ea07a8e3ef977f3f</t>
  </si>
  <si>
    <t>https://github.com/openvinotoolkit/nncf/releases/tag/v2.16.0</t>
  </si>
  <si>
    <t>4385||272428||1||15487||15486||updated||flask-cors||^4.0.0||&gt;=4,&lt;7||||88ea6f934179e547143144241180422120281d90||pyproject.toml</t>
  </si>
  <si>
    <t>flask-cors</t>
  </si>
  <si>
    <t>^4.0.0</t>
  </si>
  <si>
    <t>&gt;=4,&lt;7</t>
  </si>
  <si>
    <t>88ea6f934179e547143144241180422120281d90</t>
  </si>
  <si>
    <t>https://github.com/ulab-uiuc/tiny-scientist/commit/88ea6f934179e547143144241180422120281d90</t>
  </si>
  <si>
    <t>https://github.com/ulab-uiuc/tiny-scientist/releases/tag/v0.1.1</t>
  </si>
  <si>
    <t>2863||97877||1||8515||8514||removed||fsspec||==2023.10.0||||||701e5be53549e3c0cb08a74db8012810a2e3738f||requirements.txt</t>
  </si>
  <si>
    <t>701e5be53549e3c0cb08a74db8012810a2e3738f</t>
  </si>
  <si>
    <t>https://github.com/infiniflow/ragflow/commit/701e5be53549e3c0cb08a74db8012810a2e3738f</t>
  </si>
  <si>
    <t>2666||94484||1||7908||7907||added||huggingface-hub||~=0.20.3||||||ba14e6bf2a6702f36eda880a6eb2e2575c499493||requirements.txt</t>
  </si>
  <si>
    <t>~=0.20.3</t>
  </si>
  <si>
    <t>ba14e6bf2a6702f36eda880a6eb2e2575c499493</t>
  </si>
  <si>
    <t>https://github.com/fred-brenner/InfernoSaber---BeatSaber-Automapper/commit/ba14e6bf2a6702f36eda880a6eb2e2575c499493</t>
  </si>
  <si>
    <t>https://github.com/fred-brenner/InfernoSaber---BeatSaber-Automapper/releases/tag/v1.7.0</t>
  </si>
  <si>
    <t>92||6567||1||297||296||added||python-dotenv||*||||||4752166f765f245e77feb5d26e9b0848b89aba1b||presidio-cli/pyproject.toml</t>
  </si>
  <si>
    <t>python-dotenv</t>
  </si>
  <si>
    <t>4752166f765f245e77feb5d26e9b0848b89aba1b</t>
  </si>
  <si>
    <t>https://github.com/microsoft/presidio/commit/4752166f765f245e77feb5d26e9b0848b89aba1b</t>
  </si>
  <si>
    <t>https://github.com/microsoft/presidio/releases/tag/2.2.355</t>
  </si>
  <si>
    <t>presidio-cli/pyproject.toml</t>
  </si>
  <si>
    <t>46||5542||1||288||287||removed||torch||==2.5.1||||||890c017420c339f72f193984521abf98897f76c2||my-app/requirements.txt</t>
  </si>
  <si>
    <t>890c017420c339f72f193984521abf98897f76c2</t>
  </si>
  <si>
    <t>https://github.com/meleksabit/ai-powered-alerting-system/commit/890c017420c339f72f193984521abf98897f76c2</t>
  </si>
  <si>
    <t>https://github.com/meleksabit/ai-powered-alerting-system/releases/tag/v2.0.0</t>
  </si>
  <si>
    <t>my-app/requirements.txt</t>
  </si>
  <si>
    <t>3863||189983||1||13565||13564||updated||fastapi||&gt;=0.47.0,&lt;0.78.0||&gt;=0.47.0,&lt;=0.89.1||||b2241c9bf305dd2b2c1057c38dfa1a6a44e602f0||requirements.txt</t>
  </si>
  <si>
    <t>&gt;=0.47.0,&lt;0.78.0</t>
  </si>
  <si>
    <t>&gt;=0.47.0,&lt;=0.89.1</t>
  </si>
  <si>
    <t>b2241c9bf305dd2b2c1057c38dfa1a6a44e602f0</t>
  </si>
  <si>
    <t>https://github.com/deeppavlov/DeepPavlov/commit/b2241c9bf305dd2b2c1057c38dfa1a6a44e602f0</t>
  </si>
  <si>
    <t>https://github.com/deeppavlov/DeepPavlov/releases/tag/1.2.0</t>
  </si>
  <si>
    <t>1930||67180||1||6131||6130||added||requests||||||||d8658c8cc16d67e6690cb0f3f340e365652ce80b||requirements.txt</t>
  </si>
  <si>
    <t>d8658c8cc16d67e6690cb0f3f340e365652ce80b</t>
  </si>
  <si>
    <t>https://github.com/vllm-project/vllm/commit/d8658c8cc16d67e6690cb0f3f340e365652ce80b</t>
  </si>
  <si>
    <t>https://github.com/vllm-project/vllm/releases/tag/v0.4.0</t>
  </si>
  <si>
    <t>2265||77688||2||7043||7042||removed||google-api-python-client||(&gt;=2.169.0,&lt;3.0.0)||||||ee64c2b5dcc8d21ee3257a51d62c58be20a03d03||pyproject.toml</t>
  </si>
  <si>
    <t>google-api-python-client</t>
  </si>
  <si>
    <t>(&gt;=2.169.0,&lt;3.0.0)</t>
  </si>
  <si>
    <t>439||17600||1||1524||1522||removed||multidict||==6.0.4||||||af39968b0680aed9afd3aab3b0b24ebf2b03e7b4||requirements.txt</t>
  </si>
  <si>
    <t>multidict</t>
  </si>
  <si>
    <t>af39968b0680aed9afd3aab3b0b24ebf2b03e7b4</t>
  </si>
  <si>
    <t>https://github.com/swirlai/swirl-search/commit/af39968b0680aed9afd3aab3b0b24ebf2b03e7b4</t>
  </si>
  <si>
    <t>2967||100900||2||8829||8828||updated||transformers||==4.30.2 ; python_version &gt;= "3.9" and python_version &lt; "4.0"||==4.29.2 ; python_version &gt;= "3.9" and python_version &lt; "4.0"||||31e2253ae721ea80032283b9e85ffe51945e5a55||server/requirements.txt</t>
  </si>
  <si>
    <t>31e2253ae721ea80032283b9e85ffe51945e5a55</t>
  </si>
  <si>
    <t>https://github.com/huggingface/text-generation-inference/commit/31e2253ae721ea80032283b9e85ffe51945e5a55</t>
  </si>
  <si>
    <t>https://github.com/huggingface/text-generation-inference/releases/tag/v0.9.1</t>
  </si>
  <si>
    <t>2967||100900||2||8829||8828||updated||grpcio-status||==1.54.2 ; python_version &gt;= "3.9" and python_version &lt; "4.0"||==1.56.0 ; python_version &gt;= "3.9" and python_version &lt; "4.0"||||31e2253ae721ea80032283b9e85ffe51945e5a55||server/requirements.txt</t>
  </si>
  <si>
    <t>grpcio-status</t>
  </si>
  <si>
    <t>46||5542||1||288||287||added||prometheus-client||==0.21.1||||||890c017420c339f72f193984521abf98897f76c2||requirements.txt</t>
  </si>
  <si>
    <t>prometheus-client</t>
  </si>
  <si>
    <t>4379||269853||1||15476||15475||updated||dash-bootstrap-components||^1||&lt;2||||c823210c6abec17c200f2bda5b642a04d6826789||pyproject.toml</t>
  </si>
  <si>
    <t>dash-bootstrap-components</t>
  </si>
  <si>
    <t>^1</t>
  </si>
  <si>
    <t>&lt;2</t>
  </si>
  <si>
    <t>c823210c6abec17c200f2bda5b642a04d6826789</t>
  </si>
  <si>
    <t>https://github.com/lambda-science/IMPatienT/commit/c823210c6abec17c200f2bda5b642a04d6826789</t>
  </si>
  <si>
    <t>https://github.com/lambda-science/IMPatienT/releases/tag/v2.0.0</t>
  </si>
  <si>
    <t>2876||97877||1||8502||8501||added||debugpy||&gt;=1.8.13||||||6bf26e2a817a6266bd20d40cf181504dc74aa5bd||pyproject.toml</t>
  </si>
  <si>
    <t>debugpy</t>
  </si>
  <si>
    <t>&gt;=1.8.13</t>
  </si>
  <si>
    <t>6bf26e2a817a6266bd20d40cf181504dc74aa5bd</t>
  </si>
  <si>
    <t>https://github.com/infiniflow/ragflow/commit/6bf26e2a817a6266bd20d40cf181504dc74aa5bd</t>
  </si>
  <si>
    <t>https://github.com/infiniflow/ragflow/releases/tag/v0.18.0</t>
  </si>
  <si>
    <t>1239||47885||1||3398||3395||added||jieba||||||||67ef9868607dc1143f1a3a46f6938711faf7de6d||requirements.txt</t>
  </si>
  <si>
    <t>jieba</t>
  </si>
  <si>
    <t>67ef9868607dc1143f1a3a46f6938711faf7de6d</t>
  </si>
  <si>
    <t>https://github.com/RUC-NLPIR/FlashRAG/commit/67ef9868607dc1143f1a3a46f6938711faf7de6d</t>
  </si>
  <si>
    <t>https://github.com/RUC-NLPIR/FlashRAG/releases/tag/v0.3.0</t>
  </si>
  <si>
    <t>3368||115208||1||11910||11909||migration||lark-parser||||||lark||5e0cc2ea719203e1cf1b9ee1c782bfc4c281db18||pyproject.toml</t>
  </si>
  <si>
    <t>lark-parser</t>
  </si>
  <si>
    <t>lark</t>
  </si>
  <si>
    <t>5e0cc2ea719203e1cf1b9ee1c782bfc4c281db18</t>
  </si>
  <si>
    <t>https://github.com/yolain/ComfyUI-Easy-Use/commit/5e0cc2ea719203e1cf1b9ee1c782bfc4c281db18</t>
  </si>
  <si>
    <t>https://github.com/yolain/ComfyUI-Easy-Use/releases/tag/v.1.2.6</t>
  </si>
  <si>
    <t>1238||47885||1||3400||3398||removed||vllm||&gt;=0.4.1||||||32f2e3870bc67bf2f67a182e5d520a5fe9125669||requirements.txt</t>
  </si>
  <si>
    <t>vllm</t>
  </si>
  <si>
    <t>&gt;=0.4.1</t>
  </si>
  <si>
    <t>32f2e3870bc67bf2f67a182e5d520a5fe9125669</t>
  </si>
  <si>
    <t>https://github.com/RUC-NLPIR/FlashRAG/commit/32f2e3870bc67bf2f67a182e5d520a5fe9125669</t>
  </si>
  <si>
    <t>https://github.com/RUC-NLPIR/FlashRAG/releases/tag/v0.1.3</t>
  </si>
  <si>
    <t>3613||149926||1||13077||13076||updated||mpmath||==1.3.0 ; python_version &gt;= "3.9" and python_version &lt; "3.12"||==1.3.0||||585d3091b8f05739734767ca4c10b2ba721ef6fe||requirements.txt</t>
  </si>
  <si>
    <t>mpmath</t>
  </si>
  <si>
    <t>2387||86906||1||7488||7487||migration||typeguard||^3.0.2||||beartype||10d2f8a026d73eada861c7d51064f7e24d8f482c||pyproject.toml</t>
  </si>
  <si>
    <t>typeguard</t>
  </si>
  <si>
    <t>^3.0.2</t>
  </si>
  <si>
    <t>beartype</t>
  </si>
  <si>
    <t>10d2f8a026d73eada861c7d51064f7e24d8f482c</t>
  </si>
  <si>
    <t>https://github.com/TransformerLensOrg/TransformerLens/commit/10d2f8a026d73eada861c7d51064f7e24d8f482c</t>
  </si>
  <si>
    <t>https://github.com/TransformerLensOrg/TransformerLens/releases/tag/v1.5.0</t>
  </si>
  <si>
    <t>4004||211152||1||14479||14478||updated||sse-starlette||==2.0.0||==1.6.1||||100fa10cf2d06d83c97bd36f320a4ac167d380b0||model-engine/requirements.txt</t>
  </si>
  <si>
    <t>sse-starlette</t>
  </si>
  <si>
    <t>2.0.0</t>
  </si>
  <si>
    <t>1.6.1</t>
  </si>
  <si>
    <t>100fa10cf2d06d83c97bd36f320a4ac167d380b0</t>
  </si>
  <si>
    <t>https://github.com/scaleapi/llm-engine/commit/100fa10cf2d06d83c97bd36f320a4ac167d380b0</t>
  </si>
  <si>
    <t>https://github.com/scaleapi/llm-engine/releases/tag/v0.0.0beta32</t>
  </si>
  <si>
    <t>model-engine/requirements.txt</t>
  </si>
  <si>
    <t>743||23507||1||2141||2140||updated||mistralai||^1.0.3||^1.2.1||||9d20d03cbf7e944a2bbd5e16b2f8853d88cc2db8||pyproject.toml</t>
  </si>
  <si>
    <t>^1.0.3</t>
  </si>
  <si>
    <t>^1.2.1</t>
  </si>
  <si>
    <t>9d20d03cbf7e944a2bbd5e16b2f8853d88cc2db8</t>
  </si>
  <si>
    <t>https://github.com/pixeltable/pixeltable/commit/9d20d03cbf7e944a2bbd5e16b2f8853d88cc2db8</t>
  </si>
  <si>
    <t>https://github.com/pixeltable/pixeltable/releases/tag/v0.2.25</t>
  </si>
  <si>
    <t>4016||212402||1||14502||14501||migration||docopt||||||docopt-ng||9cec8356574d439820674bf0c6dbb3f597fee637||requirements.txt</t>
  </si>
  <si>
    <t>docopt</t>
  </si>
  <si>
    <t>docopt-ng</t>
  </si>
  <si>
    <t>9cec8356574d439820674bf0c6dbb3f597fee637</t>
  </si>
  <si>
    <t>https://github.com/Protein-Engineering-Framework/PyPEF/commit/9cec8356574d439820674bf0c6dbb3f597fee637</t>
  </si>
  <si>
    <t>https://github.com/Protein-Engineering-Framework/PyPEF/releases/tag/v0.4.3</t>
  </si>
  <si>
    <t>2383||86906||1||7492||7491||migration||torchtyping||^0.1.4||||jaxtyping||30ed77338f54b765a80d7e12d8fa24b5281c3145||pyproject.toml</t>
  </si>
  <si>
    <t>30ed77338f54b765a80d7e12d8fa24b5281c3145</t>
  </si>
  <si>
    <t>https://github.com/TransformerLensOrg/TransformerLens/commit/30ed77338f54b765a80d7e12d8fa24b5281c3145</t>
  </si>
  <si>
    <t>https://github.com/TransformerLensOrg/TransformerLens/releases/tag/v1.2.1</t>
  </si>
  <si>
    <t>4381||272428||1||15491||15490||added||rich||*||||||492a64490ea4d00b7dbdaccfa5281f1ed7af5725||pyproject.toml</t>
  </si>
  <si>
    <t>rich</t>
  </si>
  <si>
    <t>492a64490ea4d00b7dbdaccfa5281f1ed7af5725</t>
  </si>
  <si>
    <t>https://github.com/ulab-uiuc/tiny-scientist/commit/492a64490ea4d00b7dbdaccfa5281f1ed7af5725</t>
  </si>
  <si>
    <t>https://github.com/ulab-uiuc/tiny-scientist/releases/tag/v0.0.2</t>
  </si>
  <si>
    <t>859||29055||1||2512||2511||updated||spatialdata-io||&gt;=0.2.0||&gt;=0.3.0||||31b8c3ec7d14d29c861f0518f81d39965ed6155b||pyproject.toml</t>
  </si>
  <si>
    <t>spatialdata-io</t>
  </si>
  <si>
    <t>&gt;=0.2.0</t>
  </si>
  <si>
    <t>&gt;=0.3.0</t>
  </si>
  <si>
    <t>31b8c3ec7d14d29c861f0518f81d39965ed6155b</t>
  </si>
  <si>
    <t>https://github.com/gustaveroussy/sopa/commit/31b8c3ec7d14d29c861f0518f81d39965ed6155b</t>
  </si>
  <si>
    <t>https://github.com/gustaveroussy/sopa/releases/tag/v2.1.2</t>
  </si>
  <si>
    <t>34||2403||1||152||151||updated||bottle||==0.12.23||==0.12.25||||944cc111e16a9a0c5071a7835dae57d6965f22d0||requirements.txt</t>
  </si>
  <si>
    <t>bottle</t>
  </si>
  <si>
    <t>35||2403||1||151||150||updated||threadpoolctl||==3.4.0||==3.5.0||||96c36d898a06f8a8c3c8c65e12446c4c12d9f06c||requirements.txt</t>
  </si>
  <si>
    <t>3.4.0</t>
  </si>
  <si>
    <t>3.5.0</t>
  </si>
  <si>
    <t>96c36d898a06f8a8c3c8c65e12446c4c12d9f06c</t>
  </si>
  <si>
    <t>https://github.com/stanford-crfm/helm/commit/96c36d898a06f8a8c3c8c65e12446c4c12d9f06c</t>
  </si>
  <si>
    <t>4036||217122||1||14586||14585||updated||huggingface-hub||==0.15.1 ; python_version &gt;= "3.9" and python_version &lt; "4.0"||==0.16.4 ; python_version &gt;= "3.9" and python_version &lt; "4.0"||||aa03921881171f05a7377377dd473152039c3427||requirements.txt</t>
  </si>
  <si>
    <t>aa03921881171f05a7377377dd473152039c3427</t>
  </si>
  <si>
    <t>https://github.com/samsledje/ConPLex/commit/aa03921881171f05a7377377dd473152039c3427</t>
  </si>
  <si>
    <t>https://github.com/samsledje/ConPLex/releases/tag/v0.1.7</t>
  </si>
  <si>
    <t>1778||58507||1||5298||5295||added||appdirs||||||||7fd54732bb9faf85083ca48da1d7092ebd15a2b5||ragas/pyproject.toml</t>
  </si>
  <si>
    <t>appdirs</t>
  </si>
  <si>
    <t>7fd54732bb9faf85083ca48da1d7092ebd15a2b5</t>
  </si>
  <si>
    <t>https://github.com/explodinggradients/ragas/commit/7fd54732bb9faf85083ca48da1d7092ebd15a2b5</t>
  </si>
  <si>
    <t>https://github.com/explodinggradients/ragas/releases/tag/v0.3.0</t>
  </si>
  <si>
    <t>42||2403||1||144||143||added||nltk||~=3.7,!=3.9.0||||||c76ceb47ed8361283ed2e35a12881a2019d87d43||pyproject.toml</t>
  </si>
  <si>
    <t>nltk</t>
  </si>
  <si>
    <t>~=3.7,!=3.9.0</t>
  </si>
  <si>
    <t>c76ceb47ed8361283ed2e35a12881a2019d87d43</t>
  </si>
  <si>
    <t>https://github.com/stanford-crfm/helm/commit/c76ceb47ed8361283ed2e35a12881a2019d87d43</t>
  </si>
  <si>
    <t>https://github.com/stanford-crfm/helm/releases/tag/v0.5.8</t>
  </si>
  <si>
    <t>2262||77688||1||7049||7046||added||markdown2||||||||5e08e410e72bcaad0c979145b59a87cb7d217b82||requirements.txt</t>
  </si>
  <si>
    <t>markdown2</t>
  </si>
  <si>
    <t>5e08e410e72bcaad0c979145b59a87cb7d217b82</t>
  </si>
  <si>
    <t>https://github.com/M-Chimiste/TheseusInsight/commit/5e08e410e72bcaad0c979145b59a87cb7d217b82</t>
  </si>
  <si>
    <t>766||23507||1||2115||2114||updated||openai||&gt;=1.63.0||&gt;=1.86.0||||a1e464de3d323610d8f992d03ba705e957f123ec||pyproject.toml</t>
  </si>
  <si>
    <t>&gt;=1.63.0</t>
  </si>
  <si>
    <t>&gt;=1.86.0</t>
  </si>
  <si>
    <t>a1e464de3d323610d8f992d03ba705e957f123ec</t>
  </si>
  <si>
    <t>https://github.com/pixeltable/pixeltable/commit/a1e464de3d323610d8f992d03ba705e957f123ec</t>
  </si>
  <si>
    <t>https://github.com/pixeltable/pixeltable/releases/tag/v0.4.1</t>
  </si>
  <si>
    <t>2970||100900||2||8826||8825||added||async-timeout||==4.0.2 ; python_version &gt;= "3.9" and python_version &lt; "4.0"||||||2efd46ef95991a227c9ec79821e6008fdfeb901d||server/requirements.txt</t>
  </si>
  <si>
    <t>async-timeout</t>
  </si>
  <si>
    <t>2efd46ef95991a227c9ec79821e6008fdfeb901d</t>
  </si>
  <si>
    <t>https://github.com/huggingface/text-generation-inference/commit/2efd46ef95991a227c9ec79821e6008fdfeb901d</t>
  </si>
  <si>
    <t>https://github.com/huggingface/text-generation-inference/releases/tag/v0.9.4</t>
  </si>
  <si>
    <t>1082||38359||1||2855||2854||added||pyyaml||||||||32752aa8f6832e103a97f71fdb5b4224f5c19728||requirements.txt</t>
  </si>
  <si>
    <t>pyyaml</t>
  </si>
  <si>
    <t>32752aa8f6832e103a97f71fdb5b4224f5c19728</t>
  </si>
  <si>
    <t>https://github.com/castorini/pyserini/commit/32752aa8f6832e103a97f71fdb5b4224f5c19728</t>
  </si>
  <si>
    <t>https://github.com/castorini/pyserini/releases/tag/pyserini-0.21.0</t>
  </si>
  <si>
    <t>4379||269853||1||15476||15475||updated||flask-wtf||^0||&lt;2||||c823210c6abec17c200f2bda5b642a04d6826789||pyproject.toml</t>
  </si>
  <si>
    <t>flask-wtf</t>
  </si>
  <si>
    <t>^0</t>
  </si>
  <si>
    <t>3430||116374||1||12010||12009||removed||jstyleson||&gt;=0.0.2||||||b34d24e22a9520f5205c4b153a11c1b3d3a58a65||pyproject.toml</t>
  </si>
  <si>
    <t>jstyleson</t>
  </si>
  <si>
    <t>&gt;=0.0.2</t>
  </si>
  <si>
    <t>b34d24e22a9520f5205c4b153a11c1b3d3a58a65</t>
  </si>
  <si>
    <t>https://github.com/openvinotoolkit/nncf/commit/b34d24e22a9520f5205c4b153a11c1b3d3a58a65</t>
  </si>
  <si>
    <t>https://github.com/openvinotoolkit/nncf/releases/tag/v2.17.0</t>
  </si>
  <si>
    <t>3783||173851||1||13446||13445||migration||pymupdf4llm||==0.0.9||||pdf2image||2fb649fe14ffe2108606ac1049ddf68dd4b41cd6||sparrow-data/parse/requirements.txt</t>
  </si>
  <si>
    <t>pymupdf4llm</t>
  </si>
  <si>
    <t>2fb649fe14ffe2108606ac1049ddf68dd4b41cd6</t>
  </si>
  <si>
    <t>https://github.com/katanaml/sparrow/commit/2fb649fe14ffe2108606ac1049ddf68dd4b41cd6</t>
  </si>
  <si>
    <t>https://github.com/katanaml/sparrow/releases/tag/v0.2.1</t>
  </si>
  <si>
    <t>sparrow-data/parse/requirements.txt</t>
  </si>
  <si>
    <t>2994||100900||2||8798||8779||added||prometheus-client||==0.21.1 ; python_version &gt;= "3.9" and python_version &lt; "3.13"||||||683ff53fa3d29d6e0660b4f874d5d2e74a75dfa7||backends/gaudi/server/requirements.txt</t>
  </si>
  <si>
    <t>4285||255025||1||15222||15220||removed||shapely||||||||86ea50bc604e3b7950add024a6730fd4f7d788af||requirements.txt</t>
  </si>
  <si>
    <t>86ea50bc604e3b7950add024a6730fd4f7d788af</t>
  </si>
  <si>
    <t>https://github.com/MannLabs/scPortrait/commit/86ea50bc604e3b7950add024a6730fd4f7d788af</t>
  </si>
  <si>
    <t>https://github.com/MannLabs/scPortrait/releases/tag/v1.3.3</t>
  </si>
  <si>
    <t>2962||100900||2||8834||8833||added||huggingface-hub||==0.14.0 ; python_version &gt;= "3.9" and python_version &lt; "4.0"||||||98a3e0d1353f7d6f71bd59d7887ad7862c3f7305||server/requirements.txt</t>
  </si>
  <si>
    <t>98a3e0d1353f7d6f71bd59d7887ad7862c3f7305</t>
  </si>
  <si>
    <t>https://github.com/huggingface/text-generation-inference/commit/98a3e0d1353f7d6f71bd59d7887ad7862c3f7305</t>
  </si>
  <si>
    <t>https://github.com/huggingface/text-generation-inference/releases/tag/v0.7.0</t>
  </si>
  <si>
    <t>2262||77688||1||7049||7046||added||unidecode||(&gt;=1.4.0,&lt;2.0.0)||||||76a6f29fb2e0da258e99994be2bf0f27aac2698c||pyproject.toml</t>
  </si>
  <si>
    <t>(&gt;=1.4.0,&lt;2.0.0)</t>
  </si>
  <si>
    <t>76a6f29fb2e0da258e99994be2bf0f27aac2698c</t>
  </si>
  <si>
    <t>https://github.com/M-Chimiste/TheseusInsight/commit/76a6f29fb2e0da258e99994be2bf0f27aac2698c</t>
  </si>
  <si>
    <t>1231||46785||1||3373||3372||added||termcolor||*||||||9d95288863de5acd662ffd164120f9ac4032cbd6||pyproject.toml</t>
  </si>
  <si>
    <t>termcolor</t>
  </si>
  <si>
    <t>9d95288863de5acd662ffd164120f9ac4032cbd6</t>
  </si>
  <si>
    <t>https://github.com/erfanzar/EasyDeL/commit/9d95288863de5acd662ffd164120f9ac4032cbd6</t>
  </si>
  <si>
    <t>2291||82290||1||7225||7223||updated||trl||==0.18.2||==0.21.0||||9d5c95db6f4d883252fdb1183e82d0b354ff76a2||requirements.txt</t>
  </si>
  <si>
    <t>trl</t>
  </si>
  <si>
    <t>9d5c95db6f4d883252fdb1183e82d0b354ff76a2</t>
  </si>
  <si>
    <t>https://github.com/axolotl-ai-cloud/axolotl/commit/9d5c95db6f4d883252fdb1183e82d0b354ff76a2</t>
  </si>
  <si>
    <t>https://github.com/axolotl-ai-cloud/axolotl/releases/tag/v0.12.0</t>
  </si>
  <si>
    <t>92||6567||1||297||296||added||pre-commit||*||||||4752166f765f245e77feb5d26e9b0848b89aba1b||presidio-analyzer/pyproject.toml</t>
  </si>
  <si>
    <t>presidio-analyzer/pyproject.toml</t>
  </si>
  <si>
    <t>439||17600||1||1524||1522||updated||blis||==0.7.10||==0.7.11||||797b2044106ad85544e0b7b637afe5ab38385eeb||requirements.txt</t>
  </si>
  <si>
    <t>blis</t>
  </si>
  <si>
    <t>797b2044106ad85544e0b7b637afe5ab38385eeb</t>
  </si>
  <si>
    <t>https://github.com/swirlai/swirl-search/commit/797b2044106ad85544e0b7b637afe5ab38385eeb</t>
  </si>
  <si>
    <t>95||6567||1||294||293||updated||presidio-analyzer||&gt;=2.2||(&gt;=2.2)||||08564790dcea6e7b459e6d81b6b63cca116545bb||presidio-structured/pyproject.toml</t>
  </si>
  <si>
    <t>presidio-analyzer</t>
  </si>
  <si>
    <t>&gt;=2.2</t>
  </si>
  <si>
    <t>(&gt;=2.2)</t>
  </si>
  <si>
    <t>08564790dcea6e7b459e6d81b6b63cca116545bb</t>
  </si>
  <si>
    <t>https://github.com/microsoft/presidio/commit/08564790dcea6e7b459e6d81b6b63cca116545bb</t>
  </si>
  <si>
    <t>presidio-structured/pyproject.toml</t>
  </si>
  <si>
    <t>4276||254933||1||15155||15154||updated||transformers||==4.48.1||==4.49.0||||6355a6d7609fd7d6496645d24501f86180d4d2d6||requirements.txt</t>
  </si>
  <si>
    <t>6355a6d7609fd7d6496645d24501f86180d4d2d6</t>
  </si>
  <si>
    <t>https://github.com/atalaydenknalbant/autosubscriber-youtube/commit/6355a6d7609fd7d6496645d24501f86180d4d2d6</t>
  </si>
  <si>
    <t>https://github.com/atalaydenknalbant/autosubscriber-youtube/releases/tag/2.55</t>
  </si>
  <si>
    <t>870||29747||1||2551||2550||added||mpmath||==1.3.0||||||ef34610828357384418cbd6d2d16bed3463ee01c||pyproject.toml</t>
  </si>
  <si>
    <t>ef34610828357384418cbd6d2d16bed3463ee01c</t>
  </si>
  <si>
    <t>https://github.com/pigeonai-org/ViDove/commit/ef34610828357384418cbd6d2d16bed3463ee01c</t>
  </si>
  <si>
    <t>130||7991||1||693||692||removed||distro||==1.9.0||||||6c08b4066fa5f5dc5ba33e822486b6543b10a79f||requirements.txt</t>
  </si>
  <si>
    <t>distro</t>
  </si>
  <si>
    <t>2806||96297||1||8024||8023||migration||fs||||||fsspec||35623b5bd98001831cb95c0ed6534034d035dba2||pyproject.toml</t>
  </si>
  <si>
    <t>fs</t>
  </si>
  <si>
    <t>35623b5bd98001831cb95c0ed6534034d035dba2</t>
  </si>
  <si>
    <t>https://github.com/bentoml/BentoML/commit/35623b5bd98001831cb95c0ed6534034d035dba2</t>
  </si>
  <si>
    <t>https://github.com/bentoml/BentoML/releases/tag/v1.4.20</t>
  </si>
  <si>
    <t>942||34392||1||2644||2643||updated||wasabi||~=1.1.3 ; python_version &gt;= "3.11" and python_version &lt; "3.12"||==1.1.3 ; python_version &gt;= "3.11" and python_version &lt; "3.12"||||4a07137cb86e9330757125d22ebc693c11993735||requirements.txt</t>
  </si>
  <si>
    <t>wasabi</t>
  </si>
  <si>
    <t>~=1.1.3 ; python_version &gt;= "3.11" and python_version &lt; "3.12"</t>
  </si>
  <si>
    <t>4116||226242||1||14869||14868||updated||bittensor||==9.4.0||==9.9.0||||1cf15f2e1d5e8242f00a66d0e773bed8249e2ac9||requirements.txt</t>
  </si>
  <si>
    <t>bittensor</t>
  </si>
  <si>
    <t>9.4.0</t>
  </si>
  <si>
    <t>9.9.0</t>
  </si>
  <si>
    <t>1cf15f2e1d5e8242f00a66d0e773bed8249e2ac9</t>
  </si>
  <si>
    <t>https://github.com/mode-network/synth-subnet/commit/1cf15f2e1d5e8242f00a66d0e773bed8249e2ac9</t>
  </si>
  <si>
    <t>https://github.com/mode-network/synth-subnet/releases/tag/v1.4.6</t>
  </si>
  <si>
    <t>2078||72168||1||6460||6459||removed||pytorch-lightning||==1.9.0||||||6a168cc8edbf7cf84fa9f51e3b981ee3f1acba02||scripts/requirements.txt</t>
  </si>
  <si>
    <t>4276||254933||1||15155||15154||updated||selenium||==4.28.1||==4.29.0||||6355a6d7609fd7d6496645d24501f86180d4d2d6||requirements.txt</t>
  </si>
  <si>
    <t>selenium</t>
  </si>
  <si>
    <t>1778||58507||1||5298||5295||added||langchain-community||||||||7fd54732bb9faf85083ca48da1d7092ebd15a2b5||ragas/pyproject.toml</t>
  </si>
  <si>
    <t>langchain-community</t>
  </si>
  <si>
    <t>3613||149926||1||13077||13076||updated||nvidia-cuda-cupti-cu11||&gt;=11.7.101||&gt;=11.7.101; sys_platform=='Linux'||||585d3091b8f05739734767ca4c10b2ba721ef6fe||pyproject.toml</t>
  </si>
  <si>
    <t>nvidia-cuda-cupti-cu11</t>
  </si>
  <si>
    <t>&gt;=11.7.101</t>
  </si>
  <si>
    <t>&gt;=11.7.101; sys_platform=='Linux'</t>
  </si>
  <si>
    <t>4282||255025||1||15225||15224||removed||matplotlib||||||||eb8ab49697a3d0adbc4ce2dc72a54f051205a654||requirements.txt</t>
  </si>
  <si>
    <t>eb8ab49697a3d0adbc4ce2dc72a54f051205a654</t>
  </si>
  <si>
    <t>https://github.com/MannLabs/scPortrait/commit/eb8ab49697a3d0adbc4ce2dc72a54f051205a654</t>
  </si>
  <si>
    <t>https://github.com/MannLabs/scPortrait/releases/tag/v1.2.0</t>
  </si>
  <si>
    <t>114||7704||1||653||646||added||wrapt||&gt;=1.11.0,&lt;1.15||||||cb76c2538ad202b4a4dcb31d50e5354784312f80||pyproject.toml</t>
  </si>
  <si>
    <t>&gt;=1.11.0,&lt;1.15</t>
  </si>
  <si>
    <t>cb76c2538ad202b4a4dcb31d50e5354784312f80</t>
  </si>
  <si>
    <t>https://github.com/triton-inference-server/model_navigator/commit/cb76c2538ad202b4a4dcb31d50e5354784312f80</t>
  </si>
  <si>
    <t>https://github.com/triton-inference-server/model_navigator/releases/tag/v0.7.3</t>
  </si>
  <si>
    <t>23||1649||1||98||97||removed||neural-compressor||&gt;=2.2||||||17036587d84d2b42e0e9eb501d175e78d552c063||neural_insights/requirements.txt</t>
  </si>
  <si>
    <t>neural-compressor</t>
  </si>
  <si>
    <t>neural_insights/requirements.txt</t>
  </si>
  <si>
    <t>1806||59312||1||5379||5378||updated||pandas||^2.2.2||&gt;=2.2.2,&lt;3||||3eb3f922a9567de1996679aafec1143a70dd4b9c||pyproject.toml</t>
  </si>
  <si>
    <t>^2.2.2</t>
  </si>
  <si>
    <t>&gt;=2.2.2,&lt;3</t>
  </si>
  <si>
    <t>3eb3f922a9567de1996679aafec1143a70dd4b9c</t>
  </si>
  <si>
    <t>https://github.com/NVIDIA/kvpress/commit/3eb3f922a9567de1996679aafec1143a70dd4b9c</t>
  </si>
  <si>
    <t>https://github.com/NVIDIA/kvpress/releases/tag/v0.2.10</t>
  </si>
  <si>
    <t>39||2403||1||147||146||updated||huggingface-hub||==0.23.5||==0.26.5||||1c282f7421bf449394a52def7fbc27fada033142||requirements.txt</t>
  </si>
  <si>
    <t>1c282f7421bf449394a52def7fbc27fada033142</t>
  </si>
  <si>
    <t>https://github.com/stanford-crfm/helm/commit/1c282f7421bf449394a52def7fbc27fada033142</t>
  </si>
  <si>
    <t>2397||86906||1||7478||7477||removed||triton||&gt;=2.1.0||||||ce82675a8e89b6d5e6229a89620c843c794f3b04||pyproject.toml</t>
  </si>
  <si>
    <t>triton</t>
  </si>
  <si>
    <t>&gt;=2.1.0</t>
  </si>
  <si>
    <t>ce82675a8e89b6d5e6229a89620c843c794f3b04</t>
  </si>
  <si>
    <t>https://github.com/TransformerLensOrg/TransformerLens/commit/ce82675a8e89b6d5e6229a89620c843c794f3b04</t>
  </si>
  <si>
    <t>https://github.com/TransformerLensOrg/TransformerLens/releases/tag/v1.12.0</t>
  </si>
  <si>
    <t>3823||180769||1||13514||13513||removed||torchvision||||||||0c6589f1d834adc44f7d5d0276be22de6bd5698a||benchmarking/training_scripts/mlp_on_fashion_mnist/requirements.txt</t>
  </si>
  <si>
    <t>0c6589f1d834adc44f7d5d0276be22de6bd5698a</t>
  </si>
  <si>
    <t>https://github.com/syne-tune/syne-tune/commit/0c6589f1d834adc44f7d5d0276be22de6bd5698a</t>
  </si>
  <si>
    <t>https://github.com/syne-tune/syne-tune/releases/tag/v0.14.0</t>
  </si>
  <si>
    <t>benchmarking/training_scripts/mlp_on_fashion_mnist/requirements.txt</t>
  </si>
  <si>
    <t>39||2403||1||147||146||updated||grpcio||==1.66.1||==1.69.0||||4a1dd46b2a9f05ab5f50acdaaed6694416d05de7||requirements.txt</t>
  </si>
  <si>
    <t>grpcio</t>
  </si>
  <si>
    <t>4a1dd46b2a9f05ab5f50acdaaed6694416d05de7</t>
  </si>
  <si>
    <t>https://github.com/stanford-crfm/helm/commit/4a1dd46b2a9f05ab5f50acdaaed6694416d05de7</t>
  </si>
  <si>
    <t>92||6567||1||297||296||removed||tldextract||*||||||4752166f765f245e77feb5d26e9b0848b89aba1b||presidio-analyzer/Pipfile</t>
  </si>
  <si>
    <t>tldextract</t>
  </si>
  <si>
    <t>presidio-analyzer/Pipfile</t>
  </si>
  <si>
    <t>942||34392||1||2644||2643||updated||frozenlist||~=1.6.0 ; python_version &gt;= "3.11" and python_version &lt; "3.12"||==1.5.0 ; python_version &gt;= "3.11" and python_version &lt; "3.12"||||c51be7b3f61ea077ab4701b7fae9663be52bd171||requirements.txt</t>
  </si>
  <si>
    <t>frozenlist</t>
  </si>
  <si>
    <t>~=1.6.0 ; python_version &gt;= "3.11" and python_version &lt; "3.12"</t>
  </si>
  <si>
    <t>c51be7b3f61ea077ab4701b7fae9663be52bd171</t>
  </si>
  <si>
    <t>https://github.com/aiverify-foundation/moonshot-data/commit/c51be7b3f61ea077ab4701b7fae9663be52bd171</t>
  </si>
  <si>
    <t>3261||109354||1||11142||11141||updated||wandb||^0.15.0||^0.16.0||||68473771a70617301b9b39a888033e8e1f6b5ded||pyproject.toml</t>
  </si>
  <si>
    <t>wandb</t>
  </si>
  <si>
    <t>^0.15.0</t>
  </si>
  <si>
    <t>^0.16.0</t>
  </si>
  <si>
    <t>68473771a70617301b9b39a888033e8e1f6b5ded</t>
  </si>
  <si>
    <t>https://github.com/ku-nlp/kwja/commit/68473771a70617301b9b39a888033e8e1f6b5ded</t>
  </si>
  <si>
    <t>https://github.com/ku-nlp/kwja/releases/tag/v2.3.0</t>
  </si>
  <si>
    <t>2764||96297||1||8071||8067||removed||pip-tools||&gt;=6.6.2||||||b11cdbf67a9e4c34ae5dafb186ea68918fab7430||pyproject.toml</t>
  </si>
  <si>
    <t>pip-tools</t>
  </si>
  <si>
    <t>&gt;=6.6.2</t>
  </si>
  <si>
    <t>b11cdbf67a9e4c34ae5dafb186ea68918fab7430</t>
  </si>
  <si>
    <t>https://github.com/bentoml/BentoML/commit/b11cdbf67a9e4c34ae5dafb186ea68918fab7430</t>
  </si>
  <si>
    <t>https://github.com/bentoml/BentoML/releases/tag/v1.3.0</t>
  </si>
  <si>
    <t>2265||77688||2||7043||7042||removed||pygame||(&gt;=2.6.1,&lt;3.0.0)||||||ee64c2b5dcc8d21ee3257a51d62c58be20a03d03||pyproject.toml</t>
  </si>
  <si>
    <t>pygame</t>
  </si>
  <si>
    <t>(&gt;=2.6.1,&lt;3.0.0)</t>
  </si>
  <si>
    <t>4044||217124||1||14598||14597||removed||piq||&gt;=0.8.0, &lt;1.0.0 ; python_version &gt;= "3.9" and python_version &lt; "3.13"||||||5b9be8837df0779cecce27caf59baca8d2690a6b||requirements/requirements.txt</t>
  </si>
  <si>
    <t>piq</t>
  </si>
  <si>
    <t>&gt;=0.8.0, &lt;1.0.0 ; python_version &gt;= "3.9" and python_version &lt; "3.13"</t>
  </si>
  <si>
    <t>5b9be8837df0779cecce27caf59baca8d2690a6b</t>
  </si>
  <si>
    <t>https://github.com/fraunhoferportugal/pymdma/commit/5b9be8837df0779cecce27caf59baca8d2690a6b</t>
  </si>
  <si>
    <t>https://github.com/fraunhoferportugal/pymdma/releases/tag/v0.1.5</t>
  </si>
  <si>
    <t>2974||100900||2||8822||8821||added||six||==1.16.0 ; python_version &gt;= "3.9" and python_version &lt; "3.13"||||||5485c142e87a182f2eee713a6b056ee38bd901f5||server/requirements.txt</t>
  </si>
  <si>
    <t>5485c142e87a182f2eee713a6b056ee38bd901f5</t>
  </si>
  <si>
    <t>https://github.com/huggingface/text-generation-inference/commit/5485c142e87a182f2eee713a6b056ee38bd901f5</t>
  </si>
  <si>
    <t>https://github.com/huggingface/text-generation-inference/releases/tag/v1.0.3</t>
  </si>
  <si>
    <t>4027||212418||1||14520||14519||added||torch-geometric||||||||4392c2092a427ab4c62f35b00f14b696da3d0ece||pyproject.toml</t>
  </si>
  <si>
    <t>torch-geometric</t>
  </si>
  <si>
    <t>2866||97877||1||8512||8511||added||voyageai||0.2.3||||||d8a43416f5469d547e151afc1a17336d94d78561||pyproject.toml</t>
  </si>
  <si>
    <t>voyageai</t>
  </si>
  <si>
    <t>0.2.3</t>
  </si>
  <si>
    <t>2966||100900||2||8830||8829||removed||bitsandbytes||==0.38.1 ; python_version &gt;= "3.9" and python_version &lt; "4.0"||||||aefde28b45cad8c2e93f91f690ecc60eee7bd75c||server/requirements.txt</t>
  </si>
  <si>
    <t>bitsandbytes</t>
  </si>
  <si>
    <t>aefde28b45cad8c2e93f91f690ecc60eee7bd75c</t>
  </si>
  <si>
    <t>https://github.com/huggingface/text-generation-inference/commit/aefde28b45cad8c2e93f91f690ecc60eee7bd75c</t>
  </si>
  <si>
    <t>https://github.com/huggingface/text-generation-inference/releases/tag/v0.9.0</t>
  </si>
  <si>
    <t>4065||221812||1||14794||14793||updated||s3torchconnectorclient||&gt;= 1.2.6||&gt;= 1.2.7||||732ca96f999176a0027609c840d41bdb910f9a97||s3torchconnector/pyproject.toml</t>
  </si>
  <si>
    <t>s3torchconnectorclient</t>
  </si>
  <si>
    <t>&gt;= 1.2.6</t>
  </si>
  <si>
    <t>&gt;= 1.2.7</t>
  </si>
  <si>
    <t>732ca96f999176a0027609c840d41bdb910f9a97</t>
  </si>
  <si>
    <t>https://github.com/awslabs/s3-connector-for-pytorch/commit/732ca96f999176a0027609c840d41bdb910f9a97</t>
  </si>
  <si>
    <t>https://github.com/awslabs/s3-connector-for-pytorch/releases/tag/v1.2.7</t>
  </si>
  <si>
    <t>s3torchconnector/pyproject.toml</t>
  </si>
  <si>
    <t>41||2403||1||145||144||updated||nvidia-cuda-cupti-cu12||==12.1.105 ; platform_machine == 'x86_64' and sys_platform == 'linux'||==12.4.127 ; platform_machine == 'x86_64' and sys_platform == 'linux'||||70108b8424c5be906f0770ce5fadb5c17121a2ed||requirements.txt</t>
  </si>
  <si>
    <t>nvidia-cuda-cupti-cu12</t>
  </si>
  <si>
    <t>70108b8424c5be906f0770ce5fadb5c17121a2ed</t>
  </si>
  <si>
    <t>https://github.com/stanford-crfm/helm/commit/70108b8424c5be906f0770ce5fadb5c17121a2ed</t>
  </si>
  <si>
    <t>3269||109731||3||11164||11161||added||safetensors||||||||2bd06424cbb4b71f4fe237c51e01717667e2b9dd||benchmarks/requirements.txt</t>
  </si>
  <si>
    <t>2bd06424cbb4b71f4fe237c51e01717667e2b9dd</t>
  </si>
  <si>
    <t>https://github.com/pytorch/rl/commit/2bd06424cbb4b71f4fe237c51e01717667e2b9dd</t>
  </si>
  <si>
    <t>https://github.com/pytorch/rl/releases/tag/v0.10.0</t>
  </si>
  <si>
    <t>benchmarks/requirements.txt</t>
  </si>
  <si>
    <t>2432||86906||1||7439||7438||updated||sphinx||5.2.3||&gt;=7.0.0,&lt;8.0.0||||e85b052871b8b8cda564fa89bf13091d50bf909a||pyproject.toml</t>
  </si>
  <si>
    <t>sphinx</t>
  </si>
  <si>
    <t>5.2.3</t>
  </si>
  <si>
    <t>&gt;=7.0.0,&lt;8.0.0</t>
  </si>
  <si>
    <t>e85b052871b8b8cda564fa89bf13091d50bf909a</t>
  </si>
  <si>
    <t>https://github.com/TransformerLensOrg/TransformerLens/commit/e85b052871b8b8cda564fa89bf13091d50bf909a</t>
  </si>
  <si>
    <t>https://github.com/TransformerLensOrg/TransformerLens/releases/tag/v2.16.1</t>
  </si>
  <si>
    <t>2932||99225||1||8625||8624||updated||nvidia-nccl-cu12||==2.20.5||==2.26.2 ; (python_full_version &lt; '0' and sys_platform != 'linux') or (platform_machine == 'x86_64' and sys_platform == 'linux') \||||e9668b487f4325af265f72acdba97248bb01a222||requirements.txt</t>
  </si>
  <si>
    <t>nvidia-nccl-cu12</t>
  </si>
  <si>
    <t>4179||230753||1||14980||14979||removed||cython||||||||2f8d3578a35b2d068b11870d50998c69aa407d2f||requirements.txt</t>
  </si>
  <si>
    <t>cython</t>
  </si>
  <si>
    <t>2f8d3578a35b2d068b11870d50998c69aa407d2f</t>
  </si>
  <si>
    <t>https://github.com/alfworld/alfworld/commit/2f8d3578a35b2d068b11870d50998c69aa407d2f</t>
  </si>
  <si>
    <t>https://github.com/alfworld/alfworld/releases/tag/0.3.1</t>
  </si>
  <si>
    <t>281||13815||1||994||993||removed||rich||||||||eeb5cfeed5a2adc91b41d90063b8b3efbe585b9f||paddlenlp/cli/requirements.txt</t>
  </si>
  <si>
    <t>eeb5cfeed5a2adc91b41d90063b8b3efbe585b9f</t>
  </si>
  <si>
    <t>https://github.com/PaddlePaddle/PaddleNLP/commit/eeb5cfeed5a2adc91b41d90063b8b3efbe585b9f</t>
  </si>
  <si>
    <t>https://github.com/PaddlePaddle/PaddleNLP/releases/tag/v2.4.4</t>
  </si>
  <si>
    <t>paddlenlp/cli/requirements.txt</t>
  </si>
  <si>
    <t>4027||212418||1||14520||14519||migration||docopt||||||docopt-ng||78ca486970f5da15a0371f10b1bb6ab76c8eabbf||requirements.txt</t>
  </si>
  <si>
    <t>78ca486970f5da15a0371f10b1bb6ab76c8eabbf</t>
  </si>
  <si>
    <t>https://github.com/niklases/PyPEF/commit/78ca486970f5da15a0371f10b1bb6ab76c8eabbf</t>
  </si>
  <si>
    <t>2866||97877||1||8512||8511||added||pymysql||^1.1.1||||||d8a43416f5469d547e151afc1a17336d94d78561||pyproject.toml</t>
  </si>
  <si>
    <t>pymysql</t>
  </si>
  <si>
    <t>3679||157024||1||13254||13253||migration||opencv-python||^4.8.1.78||||opencv-python-headless||35292cbbfaebc308c8d97109c49b6775298b962c||pyproject.toml</t>
  </si>
  <si>
    <t>^4.8.1.78</t>
  </si>
  <si>
    <t>35292cbbfaebc308c8d97109c49b6775298b962c</t>
  </si>
  <si>
    <t>https://github.com/mobiusml/aana_sdk/commit/35292cbbfaebc308c8d97109c49b6775298b962c</t>
  </si>
  <si>
    <t>https://github.com/mobiusml/aana_sdk/releases/tag/v0.2.1</t>
  </si>
  <si>
    <t>297||13815||6||983||982||migration||pdfplumber||||||pypdf||29a94d397abe4dc84a30500f600e6e7131c3af12||pipelines/requirements.txt</t>
  </si>
  <si>
    <t>pdfplumber</t>
  </si>
  <si>
    <t>29a94d397abe4dc84a30500f600e6e7131c3af12</t>
  </si>
  <si>
    <t>https://github.com/PaddlePaddle/PaddleNLP/commit/29a94d397abe4dc84a30500f600e6e7131c3af12</t>
  </si>
  <si>
    <t>https://github.com/PaddlePaddle/PaddleNLP/releases/tag/v2.7.0</t>
  </si>
  <si>
    <t>pipelines/requirements.txt</t>
  </si>
  <si>
    <t>869||29747||1||2552||2551||migration||pytube||==15.0.0||||yt-dlp||4c060878b36f896c3b8276d311571b3ef0a8b4f3||requirements.txt</t>
  </si>
  <si>
    <t>pytube</t>
  </si>
  <si>
    <t>yt-dlp</t>
  </si>
  <si>
    <t>4c060878b36f896c3b8276d311571b3ef0a8b4f3</t>
  </si>
  <si>
    <t>https://github.com/pigeonai-org/ViDove/commit/4c060878b36f896c3b8276d311571b3ef0a8b4f3</t>
  </si>
  <si>
    <t>https://github.com/pigeonai-org/ViDove/releases/tag/v0.2.0</t>
  </si>
  <si>
    <t>4176||230308||1||14969||14968||removed||mistune||==3.0.1||||||af44639f078c5c1fe01d7defb3418634b76c98dc||pyproject.toml</t>
  </si>
  <si>
    <t>mistune</t>
  </si>
  <si>
    <t>2994||100900||2||8798||8779||updated||grpcio||^1.51.1||&gt;=1.67.0||||de19e7e84445c44ccd605628c2bd5c36b32d89dd||server/pyproject.toml</t>
  </si>
  <si>
    <t>^1.51.1</t>
  </si>
  <si>
    <t>&gt;=1.67.0</t>
  </si>
  <si>
    <t>de19e7e84445c44ccd605628c2bd5c36b32d89dd</t>
  </si>
  <si>
    <t>https://github.com/huggingface/text-generation-inference/commit/de19e7e84445c44ccd605628c2bd5c36b32d89dd</t>
  </si>
  <si>
    <t>server/pyproject.toml</t>
  </si>
  <si>
    <t>734||23507||1||2150||2149||migration||psycopg2-binary||^2.9.5||||psycopg||766dff601edd86044aee1a7e0f13c932b0421e66||pyproject.toml</t>
  </si>
  <si>
    <t>psycopg2-binary</t>
  </si>
  <si>
    <t>^2.9.5</t>
  </si>
  <si>
    <t>psycopg</t>
  </si>
  <si>
    <t>766dff601edd86044aee1a7e0f13c932b0421e66</t>
  </si>
  <si>
    <t>https://github.com/pixeltable/pixeltable/commit/766dff601edd86044aee1a7e0f13c932b0421e66</t>
  </si>
  <si>
    <t>https://github.com/pixeltable/pixeltable/releases/tag/v0.2.16</t>
  </si>
  <si>
    <t>931||34392||1||2655||2654||updated||nltk||3.9.1||^3.9.1||||0cc1c52650ad9c808e3da8da525648d4cab39380||pyproject.toml</t>
  </si>
  <si>
    <t>3.9.1</t>
  </si>
  <si>
    <t>^3.9.1</t>
  </si>
  <si>
    <t>0cc1c52650ad9c808e3da8da525648d4cab39380</t>
  </si>
  <si>
    <t>https://github.com/aiverify-foundation/moonshot-data/commit/0cc1c52650ad9c808e3da8da525648d4cab39380</t>
  </si>
  <si>
    <t>870||29747||1||2551||2550||updated||stable-ts||==2.9.0||==2.19.0||||51a3437df456f98ffc05f52f5e47d50db28a1b40||requirements.txt</t>
  </si>
  <si>
    <t>stable-ts</t>
  </si>
  <si>
    <t>1150||41330||1||3090||3089||removed||compel||&gt;=2.0.0||||||92a78d8fe863787e772a03ce1d6a6e40ad0805a7||pyproject.toml</t>
  </si>
  <si>
    <t>compel</t>
  </si>
  <si>
    <t>&gt;=2.0.0</t>
  </si>
  <si>
    <t>92a78d8fe863787e772a03ce1d6a6e40ad0805a7</t>
  </si>
  <si>
    <t>https://github.com/luxonis/datadreamer/commit/92a78d8fe863787e772a03ce1d6a6e40ad0805a7</t>
  </si>
  <si>
    <t>https://github.com/luxonis/datadreamer/releases/tag/v0.1.1</t>
  </si>
  <si>
    <t>36||2403||1||150||149||added||referencing||==0.35.1||||||64b5ecd205640cc24d381238f58411344334c895||requirements.txt</t>
  </si>
  <si>
    <t>referencing</t>
  </si>
  <si>
    <t>64b5ecd205640cc24d381238f58411344334c895</t>
  </si>
  <si>
    <t>https://github.com/stanford-crfm/helm/commit/64b5ecd205640cc24d381238f58411344334c895</t>
  </si>
  <si>
    <t>https://github.com/stanford-crfm/helm/releases/tag/v0.5.2</t>
  </si>
  <si>
    <t>1165||44148||1||3273||3270||updated||skypilot||==0.3.3||==0.4.0||||a445ddae5dc9fba89fd3b7c1bb20a8b9baef271c||requirements.txt</t>
  </si>
  <si>
    <t>skypilot</t>
  </si>
  <si>
    <t>a445ddae5dc9fba89fd3b7c1bb20a8b9baef271c</t>
  </si>
  <si>
    <t>https://github.com/run-house/runhouse/commit/a445ddae5dc9fba89fd3b7c1bb20a8b9baef271c</t>
  </si>
  <si>
    <t>https://github.com/run-house/runhouse/releases/tag/v0.0.13</t>
  </si>
  <si>
    <t>4003||211152||1||14480||14479||updated||starlette||==0.19.1||==0.36.3||||37af55cfbe1244202ad603d5e6f641b8b7f2ad6b||model-engine/requirements.txt</t>
  </si>
  <si>
    <t>starlette</t>
  </si>
  <si>
    <t>37af55cfbe1244202ad603d5e6f641b8b7f2ad6b</t>
  </si>
  <si>
    <t>https://github.com/scaleapi/llm-engine/commit/37af55cfbe1244202ad603d5e6f641b8b7f2ad6b</t>
  </si>
  <si>
    <t>https://github.com/scaleapi/llm-engine/releases/tag/v0.0.0beta28</t>
  </si>
  <si>
    <t>2961||100900||2||8835||8834||added||safetensors||==0.2.8 ; python_version &gt;= "3.9" and python_version &lt; "4.0"||||||7a1ba58557095734ae0bcd0b43f159b66485837b||server/requirements.txt</t>
  </si>
  <si>
    <t>3571||142988||1||12726||12725||added||grain||||||||02f4c88314130e2b69548c8dec43fe836b84b20a||dataflux_pytorch/benchmark/standalone_dataloader/requirements.txt</t>
  </si>
  <si>
    <t>grain</t>
  </si>
  <si>
    <t>02f4c88314130e2b69548c8dec43fe836b84b20a</t>
  </si>
  <si>
    <t>https://github.com/GoogleCloudPlatform/gcs-connector-for-pytorch/commit/02f4c88314130e2b69548c8dec43fe836b84b20a</t>
  </si>
  <si>
    <t>https://github.com/GoogleCloudPlatform/gcs-connector-for-pytorch/releases/tag/v1.4.0</t>
  </si>
  <si>
    <t>dataflux_pytorch/benchmark/standalone_dataloader/requirements.txt</t>
  </si>
  <si>
    <t>228||10853||1||843||842||updated||protobuf||==4.25.2 \||==4.25.2; python_version &gt; "3.9" or sys_platform != "linux" \||||e9c205a04910004c8e3d9d20cee5950227bdd85c||requirements.txt</t>
  </si>
  <si>
    <t>protobuf</t>
  </si>
  <si>
    <t>e9c205a04910004c8e3d9d20cee5950227bdd85c</t>
  </si>
  <si>
    <t>https://github.com/amitkparekh/CoGeLoT/commit/e9c205a04910004c8e3d9d20cee5950227bdd85c</t>
  </si>
  <si>
    <t>https://github.com/amitkparekh/CoGeLoT/releases/tag/v1.0.2</t>
  </si>
  <si>
    <t>866||29556||1||2546||2545||removed||scikit-learn||==1.4.0||||||f4f83e11511e0bff5bead58eb9088719ef1f09a6||requirements.txt</t>
  </si>
  <si>
    <t>f4f83e11511e0bff5bead58eb9088719ef1f09a6</t>
  </si>
  <si>
    <t>https://github.com/Desearch-ai/subnet-22/commit/f4f83e11511e0bff5bead58eb9088719ef1f09a6</t>
  </si>
  <si>
    <t>https://github.com/Desearch-ai/subnet-22/releases/tag/0.0.182</t>
  </si>
  <si>
    <t>4035||216901||1||14577||14576||removed||tensorboard||||||||0095c3992fa0754f4d19fa705ff77c84ca4a64de||brails/processors/garage_detector/requirements.txt</t>
  </si>
  <si>
    <t>0095c3992fa0754f4d19fa705ff77c84ca4a64de</t>
  </si>
  <si>
    <t>https://github.com/NHERI-SimCenter/BrailsPlusPlus/commit/0095c3992fa0754f4d19fa705ff77c84ca4a64de</t>
  </si>
  <si>
    <t>https://github.com/NHERI-SimCenter/BrailsPlusPlus/releases/tag/v4.1.0</t>
  </si>
  <si>
    <t>brails/processors/garage_detector/requirements.txt</t>
  </si>
  <si>
    <t>305||13908||1||1022||1021||added||pyav||||||||05729a1e1835e8f8e97d32dd2ab4d9fb0355e29d||requirements.txt</t>
  </si>
  <si>
    <t>pyav</t>
  </si>
  <si>
    <t>05729a1e1835e8f8e97d32dd2ab4d9fb0355e29d</t>
  </si>
  <si>
    <t>https://github.com/PaddlePaddle/PaddleMIX/commit/05729a1e1835e8f8e97d32dd2ab4d9fb0355e29d</t>
  </si>
  <si>
    <t>https://github.com/PaddlePaddle/PaddleMIX/releases/tag/v3.0.0-beta</t>
  </si>
  <si>
    <t>3368||115208||1||11910||11909||migration||lark-parser||||||lark||a844119335e51dfd59d757076407515194dd415e||requirements.txt</t>
  </si>
  <si>
    <t>a844119335e51dfd59d757076407515194dd415e</t>
  </si>
  <si>
    <t>https://github.com/yolain/ComfyUI-Easy-Use/commit/a844119335e51dfd59d757076407515194dd415e</t>
  </si>
  <si>
    <t>3322||111122||1||11305||11304||added||sphinx-autodoc-typehints||^1.23.0||||||bd924c8fc894e564ee5c0a14a3a008146bab0f8e||pyproject.toml</t>
  </si>
  <si>
    <t>sphinx-autodoc-typehints</t>
  </si>
  <si>
    <t>^1.23.0</t>
  </si>
  <si>
    <t>bd924c8fc894e564ee5c0a14a3a008146bab0f8e</t>
  </si>
  <si>
    <t>https://github.com/helpmefindaname/transformer-smaller-training-vocab/commit/bd924c8fc894e564ee5c0a14a3a008146bab0f8e</t>
  </si>
  <si>
    <t>30||2403||1||156||155||removed||pytrec-eval||==0.5||||||05ce7e8e6e8cc072bf1047d374490e0fbc7e1915||requirements.txt</t>
  </si>
  <si>
    <t>pytrec-eval</t>
  </si>
  <si>
    <t>05ce7e8e6e8cc072bf1047d374490e0fbc7e1915</t>
  </si>
  <si>
    <t>https://github.com/stanford-crfm/helm/commit/05ce7e8e6e8cc072bf1047d374490e0fbc7e1915</t>
  </si>
  <si>
    <t>https://github.com/stanford-crfm/helm/releases/tag/v0.2.3</t>
  </si>
  <si>
    <t>1168||44148||1||3268||3267||added||ray||&gt;= 2.2.0, &lt;= 2.6.3, != 2.6.0||||||b413868f000204a05b4ca1a6fcdea2956e6455db||requirements.txt</t>
  </si>
  <si>
    <t>ray</t>
  </si>
  <si>
    <t>&gt;= 2.2.0, &lt;= 2.6.3, != 2.6.0</t>
  </si>
  <si>
    <t>22aba3e1799851d255d767faab34abf4fe8c6395</t>
  </si>
  <si>
    <t>https://github.com/run-house/kubetorch/commit/22aba3e1799851d255d767faab34abf4fe8c6395</t>
  </si>
  <si>
    <t>https://github.com/run-house/runhouse/releases/tag/v0.0.16</t>
  </si>
  <si>
    <t>2771||96297||1||8061||8060||migration||inquirerpy||&gt;=0.3.4||||questionary||8635467dd1e71c856ac3f9ea3ac86c852f76220b||pyproject.toml</t>
  </si>
  <si>
    <t>inquirerpy</t>
  </si>
  <si>
    <t>&gt;=0.3.4</t>
  </si>
  <si>
    <t>questionary</t>
  </si>
  <si>
    <t>8635467dd1e71c856ac3f9ea3ac86c852f76220b</t>
  </si>
  <si>
    <t>https://github.com/bentoml/BentoML/commit/8635467dd1e71c856ac3f9ea3ac86c852f76220b</t>
  </si>
  <si>
    <t>https://github.com/bentoml/BentoML/releases/tag/v1.3.6</t>
  </si>
  <si>
    <t>114||7704||1||653||646||added||dacite||&gt;=1.8.0||||||427a86427949ff2804f162c8a2cb1f4dbef30850||pyproject.toml</t>
  </si>
  <si>
    <t>dacite</t>
  </si>
  <si>
    <t>&gt;=1.8.0</t>
  </si>
  <si>
    <t>427a86427949ff2804f162c8a2cb1f4dbef30850</t>
  </si>
  <si>
    <t>https://github.com/triton-inference-server/model_navigator/commit/427a86427949ff2804f162c8a2cb1f4dbef30850</t>
  </si>
  <si>
    <t>3811||180769||1||13526||13525||migration||sklearn||||||scikit-learn||a229c87129374c73a252221d77d44f3b24b08f71||benchmarking/nursery/benchmark_automl/requirements.txt</t>
  </si>
  <si>
    <t>sklearn</t>
  </si>
  <si>
    <t>aafe2beb75de2436d028504491f720a3dcd4fdbe</t>
  </si>
  <si>
    <t>https://github.com/syne-tune/syne-tune/commit/aafe2beb75de2436d028504491f720a3dcd4fdbe</t>
  </si>
  <si>
    <t>https://github.com/syne-tune/syne-tune/releases/tag/v0.3.3</t>
  </si>
  <si>
    <t>benchmarking/nursery/benchmark_automl/requirements.txt</t>
  </si>
  <si>
    <t>2872||97877||1||8506||8505||added||onnxruntime-gpu||==1.19.2; sys_platform != 'darwin' and platform_machine == 'x86_64'||||||8b4973424185cc4045ee3325111901a5664414c8||pyproject.toml</t>
  </si>
  <si>
    <t>onnxruntime-gpu</t>
  </si>
  <si>
    <t>8b4973424185cc4045ee3325111901a5664414c8</t>
  </si>
  <si>
    <t>https://github.com/infiniflow/ragflow/commit/8b4973424185cc4045ee3325111901a5664414c8</t>
  </si>
  <si>
    <t>3380||115210||1||11928||11927||added||six||==1.17.0||||||54f09db4292c318b3658d99f8b1f9cace84fab5e||requirements.txt</t>
  </si>
  <si>
    <t>54f09db4292c318b3658d99f8b1f9cace84fab5e</t>
  </si>
  <si>
    <t>https://github.com/intel/openvino-ai-plugins-gimp/commit/54f09db4292c318b3658d99f8b1f9cace84fab5e</t>
  </si>
  <si>
    <t>https://github.com/intel/openvino-ai-plugins-gimp/releases/tag/3.1.0</t>
  </si>
  <si>
    <t>3612||149926||1||13078||13077||updated||transformers||==4.26.1 ; python_full_version &gt;= "3.8.1" and python_version &lt; "3.12"||==4.35.2 ; python_version &gt;= "3.9" and python_version &lt; "3.12"||||110e038e2311747be1ee929257033e97217900bb||requirements.txt</t>
  </si>
  <si>
    <t>110e038e2311747be1ee929257033e97217900bb</t>
  </si>
  <si>
    <t>https://github.com/inseq-team/inseq/commit/110e038e2311747be1ee929257033e97217900bb</t>
  </si>
  <si>
    <t>34||2403||1||152||151||updated||srsly||==2.4.4||==2.4.8||||944cc111e16a9a0c5071a7835dae57d6965f22d0||requirements.txt</t>
  </si>
  <si>
    <t>srsly</t>
  </si>
  <si>
    <t>937||34392||1||2649||2648||updated||urllib3||~=2.2.3 ; python_version &gt;= "3.11" and python_version &lt; "3.12"||~=2.4.0 ; python_version &gt;= "3.11" and python_version &lt; "3.12"||||ab3dcb0813273ae9cbc397f0fb83639dc2dabd74||requirements.txt</t>
  </si>
  <si>
    <t>~=2.2.3 ; python_version &gt;= "3.11" and python_version &lt; "3.12"</t>
  </si>
  <si>
    <t>~=2.4.0 ; python_version &gt;= "3.11" and python_version &lt; "3.12"</t>
  </si>
  <si>
    <t>2262||77688||1||7049||7046||added||google-api-python-client||(&gt;=2.169.0,&lt;3.0.0)||||||76a6f29fb2e0da258e99994be2bf0f27aac2698c||pyproject.toml</t>
  </si>
  <si>
    <t>3823||180769||1||13514||13513||added||scikit-learn||==1.1.3||||||0c6589f1d834adc44f7d5d0276be22de6bd5698a||nursery/othpo/xgboost/requirements.txt</t>
  </si>
  <si>
    <t>nursery/othpo/xgboost/requirements.txt</t>
  </si>
  <si>
    <t>2930||99225||1||8627||8626||added||nh3||==0.2.17||||||f820b1bffbae7d700bd10cdbde6820b15047b516||requirements.txt</t>
  </si>
  <si>
    <t>nh3</t>
  </si>
  <si>
    <t>931||34392||1||2655||2654||updated||bert-score||0.3.13||^0.3.13||||0cc1c52650ad9c808e3da8da525648d4cab39380||pyproject.toml</t>
  </si>
  <si>
    <t>0.3.13</t>
  </si>
  <si>
    <t>34||2403||1||152||151||updated||pandas||==1.5.0||==2.0.3||||944cc111e16a9a0c5071a7835dae57d6965f22d0||requirements.txt</t>
  </si>
  <si>
    <t>548||20474||1||1716||1715||removed||langchain-community||^0.2||||||1e1f5fd0b62a6057c0f4fa9b5b27061d44e60f3b||libs/knowledge-store/pyproject.toml</t>
  </si>
  <si>
    <t>^0.2</t>
  </si>
  <si>
    <t>1e1f5fd0b62a6057c0f4fa9b5b27061d44e60f3b</t>
  </si>
  <si>
    <t>https://github.com/datastax/ragstack-ai/commit/1e1f5fd0b62a6057c0f4fa9b5b27061d44e60f3b</t>
  </si>
  <si>
    <t>libs/knowledge-store/pyproject.toml</t>
  </si>
  <si>
    <t>1130||40772||1||2996||2995||removed||moto||^5.0.21||||||0e1b55f7588f967eb748a6801dc13aa1e43e5513||genai-engine/pyproject.toml</t>
  </si>
  <si>
    <t>moto</t>
  </si>
  <si>
    <t>^5.0.21</t>
  </si>
  <si>
    <t>0e1b55f7588f967eb748a6801dc13aa1e43e5513</t>
  </si>
  <si>
    <t>https://github.com/arthur-ai/arthur-engine/commit/0e1b55f7588f967eb748a6801dc13aa1e43e5513</t>
  </si>
  <si>
    <t>https://github.com/arthur-ai/arthur-engine/releases/tag/2.1.40</t>
  </si>
  <si>
    <t>680||21283||38||1921||1856||updated||huggingface-hub||==0.10.1||==0.23.5||||e7c55eeb20d58945c8f54708466a577b37b349dc||.devcontainer/requirements.txt</t>
  </si>
  <si>
    <t>e7c55eeb20d58945c8f54708466a577b37b349dc</t>
  </si>
  <si>
    <t>https://github.com/mlflow/mlflow/commit/e7c55eeb20d58945c8f54708466a577b37b349dc</t>
  </si>
  <si>
    <t>34||2403||1||152||151||added||dnspython||==2.6.1||||||cdd7875f09d7065ebff788d163c06f9ce6563226||requirements.txt</t>
  </si>
  <si>
    <t>dnspython</t>
  </si>
  <si>
    <t>cdd7875f09d7065ebff788d163c06f9ce6563226</t>
  </si>
  <si>
    <t>https://github.com/stanford-crfm/helm/commit/cdd7875f09d7065ebff788d163c06f9ce6563226</t>
  </si>
  <si>
    <t>2866||97877||1||8512||8511||added||groq||0.9.0||||||d8a43416f5469d547e151afc1a17336d94d78561||pyproject.toml</t>
  </si>
  <si>
    <t>groq</t>
  </si>
  <si>
    <t>0.9.0</t>
  </si>
  <si>
    <t>3613||149926||1||13077||13076||updated||contourpy||==1.2.0 ; python_version &gt;= "3.9" and python_version &lt; "3.12"||==1.2.0||||585d3091b8f05739734767ca4c10b2ba721ef6fe||requirements.txt</t>
  </si>
  <si>
    <t>contourpy</t>
  </si>
  <si>
    <t>2339||85311||1||7366||7365||removed||smart-open||==3.0.0||||||53063015d59fffd87d16b8716a637e3351a97892||train/requirements.txt</t>
  </si>
  <si>
    <t>smart-open</t>
  </si>
  <si>
    <t>2932||99225||1||8625||8624||removed||langchain-mistralai||==0.1.7||||||c5eab1cc6e695149d37a08a0bd4bcf5a10a0e027||requirements.txt</t>
  </si>
  <si>
    <t>langchain-mistralai</t>
  </si>
  <si>
    <t>548||20474||1||1716||1715||updated||llama-index||0.10.43||0.10.57||||0d0716f51cba5a69992ea8b94d8f34d2c556c699||libs/llamaindex/pyproject.toml</t>
  </si>
  <si>
    <t>llama-index</t>
  </si>
  <si>
    <t>0.10.43</t>
  </si>
  <si>
    <t>0.10.57</t>
  </si>
  <si>
    <t>0d0716f51cba5a69992ea8b94d8f34d2c556c699</t>
  </si>
  <si>
    <t>https://github.com/datastax/ragstack-ai/commit/0d0716f51cba5a69992ea8b94d8f34d2c556c699</t>
  </si>
  <si>
    <t>libs/llamaindex/pyproject.toml</t>
  </si>
  <si>
    <t>2932||99225||1||8625||8624||added||awscli||&gt;=1.41.17||||||68b14caaaa6c58271ba02d4e430688a49f6b3d47||pyproject.toml</t>
  </si>
  <si>
    <t>awscli</t>
  </si>
  <si>
    <t>&gt;=1.41.17</t>
  </si>
  <si>
    <t>68b14caaaa6c58271ba02d4e430688a49f6b3d47</t>
  </si>
  <si>
    <t>https://github.com/wandb/llm-leaderboard/commit/68b14caaaa6c58271ba02d4e430688a49f6b3d47</t>
  </si>
  <si>
    <t>997||35685||1||2739||2738||migration||auto-gptq||*||||gptqmodel||db761d5ba5cdd2cafb1f645c0969da44c85ba3d1||pyproject.toml</t>
  </si>
  <si>
    <t>auto-gptq</t>
  </si>
  <si>
    <t>gptqmodel</t>
  </si>
  <si>
    <t>db761d5ba5cdd2cafb1f645c0969da44c85ba3d1</t>
  </si>
  <si>
    <t>https://github.com/PrunaAI/pruna/commit/db761d5ba5cdd2cafb1f645c0969da44c85ba3d1</t>
  </si>
  <si>
    <t>https://github.com/PrunaAI/pruna/releases/tag/v0.2.1</t>
  </si>
  <si>
    <t>1537||55594||1||4669||4668||updated||snowflake-snowpark-python||==1.8.0||==1.11.1||||fbebee7cc7d621939c046d75c1dfebb59fd50e5a||requirements.txt</t>
  </si>
  <si>
    <t>snowflake-snowpark-python</t>
  </si>
  <si>
    <t>fbebee7cc7d621939c046d75c1dfebb59fd50e5a</t>
  </si>
  <si>
    <t>https://github.com/snowflakedb/snowflake-ml-python/commit/fbebee7cc7d621939c046d75c1dfebb59fd50e5a</t>
  </si>
  <si>
    <t>https://github.com/snowflakedb/snowflake-ml-python/releases/tag/1.3.1</t>
  </si>
  <si>
    <t>4320||255891||1||15257||15256||removed||decorator||==4.4.1||||||d42338c6007d08bcb49ad1c48b1a9ff2c7282d13||requirements.txt</t>
  </si>
  <si>
    <t>decorator</t>
  </si>
  <si>
    <t>847||28453||1||2500||2499||updated||scipy||==1.9.1||==1.10.1||||e398b90e85f9e64d34d6c67fe4b04d6cb7145c98||text_to_image/requirements.txt</t>
  </si>
  <si>
    <t>e398b90e85f9e64d34d6c67fe4b04d6cb7145c98</t>
  </si>
  <si>
    <t>https://github.com/mlcommons/inference/commit/e398b90e85f9e64d34d6c67fe4b04d6cb7145c98</t>
  </si>
  <si>
    <t>https://github.com/mlcommons/inference/releases/tag/v5.0</t>
  </si>
  <si>
    <t>text_to_image/requirements.txt</t>
  </si>
  <si>
    <t>189||9673||1||723||720||removed||sphinx-tabs||==3.2.0||||||72825d50ced09056dfdb54cd1ad3caa56c3f7b25||requirements.txt</t>
  </si>
  <si>
    <t>sphinx-tabs</t>
  </si>
  <si>
    <t>72825d50ced09056dfdb54cd1ad3caa56c3f7b25</t>
  </si>
  <si>
    <t>https://github.com/aws-neuron/aws-neuron-sdk/commit/72825d50ced09056dfdb54cd1ad3caa56c3f7b25</t>
  </si>
  <si>
    <t>https://github.com/aws-neuron/aws-neuron-sdk/releases/tag/v2.20.2</t>
  </si>
  <si>
    <t>120||7782||1||674||672||added||streamlit||&gt;=1.37.0||||||b8972863eef9ef304371d6250ab48462c7f5e3d6||pyproject.toml</t>
  </si>
  <si>
    <t>streamlit</t>
  </si>
  <si>
    <t>&gt;=1.37.0</t>
  </si>
  <si>
    <t>b8972863eef9ef304371d6250ab48462c7f5e3d6</t>
  </si>
  <si>
    <t>https://github.com/NVIDIA/NeMo-Guardrails/commit/b8972863eef9ef304371d6250ab48462c7f5e3d6</t>
  </si>
  <si>
    <t>https://github.com/NVIDIA-NeMo/Guardrails/releases/tag/v0.11.1</t>
  </si>
  <si>
    <t>870||29747||1||2551||2550||updated||filelock||==3.10.0||==3.18.0||||51a3437df456f98ffc05f52f5e47d50db28a1b40||requirements.txt</t>
  </si>
  <si>
    <t>3090||101373||1||8979||8977||migration||grain-nightly||||||grain||d931f5e2a5424f05693cbef286ac03344f25c611||requirements.txt</t>
  </si>
  <si>
    <t>grain-nightly</t>
  </si>
  <si>
    <t>d931f5e2a5424f05693cbef286ac03344f25c611</t>
  </si>
  <si>
    <t>https://github.com/AI-Hypercomputer/maxtext/commit/d931f5e2a5424f05693cbef286ac03344f25c611</t>
  </si>
  <si>
    <t>https://github.com/AI-Hypercomputer/maxtext/releases/tag/tpu-recipes-v0.1.1</t>
  </si>
  <si>
    <t>2932||99225||1||8625||8624||added||llguidance||==0.7.30 ; platform_machine == 'aarch64' or platform_machine == 'arm64' or platform_machine == 'x86_64' \||||||c5eab1cc6e695149d37a08a0bd4bcf5a10a0e027||requirements.txt</t>
  </si>
  <si>
    <t>llguidance</t>
  </si>
  <si>
    <t>2932||99225||1||8625||8624||updated||nvidia-curand-cu12||==10.3.2.106||==10.3.7.77 ; (python_full_version &lt; '0' and sys_platform != 'linux') or (platform_machine == 'x86_64' and sys_platform == 'linux') \||||e9668b487f4325af265f72acdba97248bb01a222||requirements.txt</t>
  </si>
  <si>
    <t>nvidia-curand-cu12</t>
  </si>
  <si>
    <t>4004||211152||1||14479||14478||migration||pep517||==0.13.0||||pyproject-hooks||430485677c54458c4121dc5a7a76affce1b24975||model-engine/requirements.txt</t>
  </si>
  <si>
    <t>pep517</t>
  </si>
  <si>
    <t>pyproject-hooks</t>
  </si>
  <si>
    <t>430485677c54458c4121dc5a7a76affce1b24975</t>
  </si>
  <si>
    <t>https://github.com/scaleapi/llm-engine/commit/430485677c54458c4121dc5a7a76affce1b24975</t>
  </si>
  <si>
    <t>3483||130563||1||12418||12417||updated||torch||||&gt;=2.0.0||||65dc1dcbc92bcdceb50c4360e24a397a75b38837||requirements.txt</t>
  </si>
  <si>
    <t>65dc1dcbc92bcdceb50c4360e24a397a75b38837</t>
  </si>
  <si>
    <t>https://github.com/stanfordnlp/pyvene/commit/65dc1dcbc92bcdceb50c4360e24a397a75b38837</t>
  </si>
  <si>
    <t>https://github.com/stanfordnlp/pyvene/releases/tag/v0.0.7</t>
  </si>
  <si>
    <t>3734||162404||1||13313||13312||updated||openai||==1.76.0||==1.87.0||||cdef4213cfb02a5c186dee853748c88d3227788d||pyproject.toml</t>
  </si>
  <si>
    <t>1.76.0</t>
  </si>
  <si>
    <t>1.87.0"</t>
  </si>
  <si>
    <t>cdef4213cfb02a5c186dee853748c88d3227788d</t>
  </si>
  <si>
    <t>https://github.com/xming521/WeClone/commit/cdef4213cfb02a5c186dee853748c88d3227788d</t>
  </si>
  <si>
    <t>https://github.com/xming521/WeClone/releases/tag/v0.3.02</t>
  </si>
  <si>
    <t>1676||56906||1||4982||4981||added||pytest||==7.4.2||||||e53e729d8ed3571835b259b04efe474e51f4624a||applications/ColossalQA/requirements.txt</t>
  </si>
  <si>
    <t>1678||56906||1||4980||4979||removed||langchain||||||||df5e9c53cf23d44656470cc319ee0b470c40712f||applications/Chat/requirements.txt</t>
  </si>
  <si>
    <t>df5e9c53cf23d44656470cc319ee0b470c40712f</t>
  </si>
  <si>
    <t>https://github.com/hpcaitech/ColossalAI/commit/df5e9c53cf23d44656470cc319ee0b470c40712f</t>
  </si>
  <si>
    <t>https://github.com/hpcaitech/ColossalAI/releases/tag/v0.3.7</t>
  </si>
  <si>
    <t>applications/Chat/requirements.txt</t>
  </si>
  <si>
    <t>4054||218108||1||14604||14603||updated||pyqt5||==5.15.11||||||f601a089696641da13ca27be318ed908a569a1fc||requirements.txt</t>
  </si>
  <si>
    <t>pyqt5</t>
  </si>
  <si>
    <t>f601a089696641da13ca27be318ed908a569a1fc</t>
  </si>
  <si>
    <t>https://github.com/zstar1003/FreeTex/commit/f601a089696641da13ca27be318ed908a569a1fc</t>
  </si>
  <si>
    <t>https://github.com/zstar1003/FreeTex/releases/tag/v1.0.0</t>
  </si>
  <si>
    <t>1240||48282||1||3408||3407||added||httpx-sse||||||||8367cf4771d4479718b21b13265ffdd19e139de9||toolkit/pyproject.toml</t>
  </si>
  <si>
    <t>httpx-sse</t>
  </si>
  <si>
    <t>8367cf4771d4479718b21b13265ffdd19e139de9</t>
  </si>
  <si>
    <t>https://github.com/plageon/HtmlRAG/commit/8367cf4771d4479718b21b13265ffdd19e139de9</t>
  </si>
  <si>
    <t>https://github.com/plageon/HtmlRAG/releases/tag/v0.0.3</t>
  </si>
  <si>
    <t>toolkit/pyproject.toml</t>
  </si>
  <si>
    <t>93||6567||1||296||295||added||gunicorn||*||||||a081c22b46ea6c69621edf28792fb19868f79969||presidio-image-redactor/pyproject.toml</t>
  </si>
  <si>
    <t>gunicorn</t>
  </si>
  <si>
    <t>a081c22b46ea6c69621edf28792fb19868f79969</t>
  </si>
  <si>
    <t>https://github.com/microsoft/presidio/commit/a081c22b46ea6c69621edf28792fb19868f79969</t>
  </si>
  <si>
    <t>https://github.com/microsoft/presidio/releases/tag/2.2.356</t>
  </si>
  <si>
    <t>presidio-image-redactor/pyproject.toml</t>
  </si>
  <si>
    <t>2932||99225||1||8625||8624||added||vllm||&gt;=0.9.1||||||c5eab1cc6e695149d37a08a0bd4bcf5a10a0e027||pyproject.toml</t>
  </si>
  <si>
    <t>&gt;=0.9.1</t>
  </si>
  <si>
    <t>931||34392||1||2655||2654||updated||anyio||==4.6.0 ; python_version &gt;= "3.11" and python_version &lt; "3.12"||~=4.6.0 ; python_version &gt;= "3.11" and python_version &lt; "3.12"||||8b53b4380dc9b9ff691eac79179a1a2006a3e644||requirements.txt</t>
  </si>
  <si>
    <t>anyio</t>
  </si>
  <si>
    <t>~=4.6.0 ; python_version &gt;= "3.11" and python_version &lt; "3.12"</t>
  </si>
  <si>
    <t>406||16876||1||1452||1451||updated||llama-index-postprocessor-colbert-rerank||^0.1.1||^0.1.3||||97d4372a35f847643948e9d9ab1fa7ec143c44b1||pyproject.toml</t>
  </si>
  <si>
    <t>llama-index-postprocessor-colbert-rerank</t>
  </si>
  <si>
    <t>^0.1.1</t>
  </si>
  <si>
    <t>^0.1.3</t>
  </si>
  <si>
    <t>97d4372a35f847643948e9d9ab1fa7ec143c44b1</t>
  </si>
  <si>
    <t>https://github.com/apocas/restai/commit/97d4372a35f847643948e9d9ab1fa7ec143c44b1</t>
  </si>
  <si>
    <t>547||20474||1||1717||1716||migration||pytest-retry||^1.6.3||||pytest-rerunfailures||4d2aac087846436b465d2c2dc633f5af9d560cba||libs/knowledge-graph/pyproject.toml</t>
  </si>
  <si>
    <t>pytest-retry</t>
  </si>
  <si>
    <t>^1.6.3</t>
  </si>
  <si>
    <t>4d2aac087846436b465d2c2dc633f5af9d560cba</t>
  </si>
  <si>
    <t>https://github.com/datastax/ragstack-ai/commit/4d2aac087846436b465d2c2dc633f5af9d560cba</t>
  </si>
  <si>
    <t>https://github.com/datastax/ragstack-ai/releases/tag/ragstack-ai-1.0.8</t>
  </si>
  <si>
    <t>libs/knowledge-graph/pyproject.toml</t>
  </si>
  <si>
    <t>846||28453||1||2501||2500||added||pyyaml||==5.4.1||||||0ab25310584705ffc513a6c8d94fad207355b4c3||retired_benchmarks/translation/gnmt/tensorflow/requirements.txt</t>
  </si>
  <si>
    <t>0ab25310584705ffc513a6c8d94fad207355b4c3</t>
  </si>
  <si>
    <t>https://github.com/mlcommons/inference/commit/0ab25310584705ffc513a6c8d94fad207355b4c3</t>
  </si>
  <si>
    <t>https://github.com/mlcommons/inference/releases/tag/v4.1</t>
  </si>
  <si>
    <t>retired_benchmarks/translation/gnmt/tensorflow/requirements.txt</t>
  </si>
  <si>
    <t>3680||157024||1||13253||13252||migration||psycopg2-binary||^2.9.9||||psycopg||13a2b3ce2b61fe4bd9f6c43d65237b11d7cdd922||pyproject.toml</t>
  </si>
  <si>
    <t>^2.9.9</t>
  </si>
  <si>
    <t>13a2b3ce2b61fe4bd9f6c43d65237b11d7cdd922</t>
  </si>
  <si>
    <t>https://github.com/mobiusml/aana_sdk/commit/13a2b3ce2b61fe4bd9f6c43d65237b11d7cdd922</t>
  </si>
  <si>
    <t>https://github.com/mobiusml/aana_sdk/releases/tag/v0.2.2</t>
  </si>
  <si>
    <t>1133||40772||1||2993||2992||updated||python-dotenv||==1.0.1||==1.1.1||||d4928e59a3d89f3ed94c03f960db809a3b6686ed||genai-engine/locust/requirements.txt</t>
  </si>
  <si>
    <t>genai-engine/locust/requirements.txt</t>
  </si>
  <si>
    <t>1235||46785||1||3369||3368||updated||eformer||0.0.23||0.0.34||||1f905fb8c6df61c1283b44f4f9ecddc8302480b2||pyproject.toml</t>
  </si>
  <si>
    <t>0.0.23</t>
  </si>
  <si>
    <t>0.0.34</t>
  </si>
  <si>
    <t>1f905fb8c6df61c1283b44f4f9ecddc8302480b2</t>
  </si>
  <si>
    <t>https://github.com/erfanzar/EasyDeL/commit/1f905fb8c6df61c1283b44f4f9ecddc8302480b2</t>
  </si>
  <si>
    <t>https://github.com/erfanzar/EasyDeL/releases/tag/0.1.4</t>
  </si>
  <si>
    <t>660||21283||24||1852||1851||removed||protobuf||&lt;7,&gt;=3.12.0||||||5cc8e8d880543f578bf87227949195ec50d26ff0||packages/tracing/pyproject.toml</t>
  </si>
  <si>
    <t>&lt;7,&gt;=3.12.0</t>
  </si>
  <si>
    <t>40||2403||1||146||145||updated||markupsafe||==2.1.5||==3.0.2||||cb8a491a40136b7a069f73aaa37305b1518216d0||requirements.txt</t>
  </si>
  <si>
    <t>markupsafe</t>
  </si>
  <si>
    <t>1778||58507||1||5298||5295||removed||langchain-openai||||||||7fd54732bb9faf85083ca48da1d7092ebd15a2b5||pyproject.toml</t>
  </si>
  <si>
    <t>langchain-openai</t>
  </si>
  <si>
    <t>1275||48921||5||3440||3439||added||setuptools||==70.0.0||||||b3ae28631decc16e22f85869bdf5700a24228553||requirements.txt</t>
  </si>
  <si>
    <t>setuptools</t>
  </si>
  <si>
    <t>d35640de0e9b0f2417cd9370d158145fd7ebf375</t>
  </si>
  <si>
    <t>https://github.com/mage-ai/mage-ai/commit/d35640de0e9b0f2417cd9370d158145fd7ebf375</t>
  </si>
  <si>
    <t>92||6567||1||297||296||added||presidio-analyzer||&gt;= 2.2||||||e65c89c68797d1609c7cba176e55450cc635d764||presidio-cli/pyproject.toml</t>
  </si>
  <si>
    <t>&gt;= 2.2</t>
  </si>
  <si>
    <t>e65c89c68797d1609c7cba176e55450cc635d764</t>
  </si>
  <si>
    <t>https://github.com/microsoft/presidio/commit/e65c89c68797d1609c7cba176e55450cc635d764</t>
  </si>
  <si>
    <t>870||29747||1||2551||2550||added||humanfriendly||==10.0||||||51a3437df456f98ffc05f52f5e47d50db28a1b40||web_frontend/backend/requirements.txt</t>
  </si>
  <si>
    <t>humanfriendly</t>
  </si>
  <si>
    <t>3380||115210||1||11928||11927||added||cachetools||==5.5.2||||||54f09db4292c318b3658d99f8b1f9cace84fab5e||requirements.txt</t>
  </si>
  <si>
    <t>cachetools</t>
  </si>
  <si>
    <t>870||29747||1||2551||2550||added||pyasn1||==0.6.1||||||51a3437df456f98ffc05f52f5e47d50db28a1b40||requirements.txt</t>
  </si>
  <si>
    <t>pyasn1</t>
  </si>
  <si>
    <t>280||13815||1||995||994||added||rich||||||||d3d059273a0bdd80c51e881030df5ff6b645ead1||paddlenlp/cli/requirements.txt</t>
  </si>
  <si>
    <t>d3d059273a0bdd80c51e881030df5ff6b645ead1</t>
  </si>
  <si>
    <t>https://github.com/PaddlePaddle/PaddleNLP/commit/d3d059273a0bdd80c51e881030df5ff6b645ead1</t>
  </si>
  <si>
    <t>https://github.com/PaddlePaddle/PaddleNLP/releases/tag/v2.4.3</t>
  </si>
  <si>
    <t>1094||38359||1||2843||2842||removed||scipy||&gt;=1.4.1||||||4f82f6264d90cc41a328a9f074d7d6cd6b485c70||requirements.txt</t>
  </si>
  <si>
    <t>&gt;=1.4.1</t>
  </si>
  <si>
    <t>4f82f6264d90cc41a328a9f074d7d6cd6b485c70</t>
  </si>
  <si>
    <t>https://github.com/castorini/pyserini/commit/4f82f6264d90cc41a328a9f074d7d6cd6b485c70</t>
  </si>
  <si>
    <t>https://github.com/castorini/pyserini/releases/tag/pyserini-0.41.0</t>
  </si>
  <si>
    <t>2932||99225||1||8625||8624||added||overrides||==7.7.0 \||||||7d3befebd2126c0244cc5db4339c84179450b78a||requirements.txt</t>
  </si>
  <si>
    <t>overrides</t>
  </si>
  <si>
    <t>7d3befebd2126c0244cc5db4339c84179450b78a</t>
  </si>
  <si>
    <t>https://github.com/wandb/llm-leaderboard/commit/7d3befebd2126c0244cc5db4339c84179450b78a</t>
  </si>
  <si>
    <t>439||17600||1||1524||1522||updated||spacy||==3.6.1||==3.7.4||||87abd2ac221a154b5a67dbd5b52d4b233a8c0814||requirements.txt</t>
  </si>
  <si>
    <t>spacy</t>
  </si>
  <si>
    <t>87abd2ac221a154b5a67dbd5b52d4b233a8c0814</t>
  </si>
  <si>
    <t>https://github.com/swirlai/swirl-search/commit/87abd2ac221a154b5a67dbd5b52d4b233a8c0814</t>
  </si>
  <si>
    <t>2840||97616||1||8469||8468||added||flake8||&gt;=4.0.1||||||12905bc3b7ce512eb638059b561bcfcd00ee8dc1||requirements.txt</t>
  </si>
  <si>
    <t>flake8</t>
  </si>
  <si>
    <t>&gt;=4.0.1</t>
  </si>
  <si>
    <t>3612||149926||1||13078||13077||migration||sphinx-rtd-theme||^1.0.0||||furo||22848bd8640e478a23e5bd40e4f3902fa2111016||pyproject.toml</t>
  </si>
  <si>
    <t>^1.0.0</t>
  </si>
  <si>
    <t>furo</t>
  </si>
  <si>
    <t>22848bd8640e478a23e5bd40e4f3902fa2111016</t>
  </si>
  <si>
    <t>https://github.com/inseq-team/inseq/commit/22848bd8640e478a23e5bd40e4f3902fa2111016</t>
  </si>
  <si>
    <t>1232||46785||1||3372||3371||removed||prometheus-client||&gt;=0.21.0||||||64a77804783cb790bff1f8c744163915f55aea5f||pyproject.toml</t>
  </si>
  <si>
    <t>&gt;=0.21.0</t>
  </si>
  <si>
    <t>64a77804783cb790bff1f8c744163915f55aea5f</t>
  </si>
  <si>
    <t>https://github.com/erfanzar/EasyDeL/commit/64a77804783cb790bff1f8c744163915f55aea5f</t>
  </si>
  <si>
    <t>https://github.com/erfanzar/EasyDeL/releases/tag/0.1.1</t>
  </si>
  <si>
    <t>680||21283||38||1921||1856||updated||werkzeug||==2.2.2||==3.0.6||||e7c55eeb20d58945c8f54708466a577b37b349dc||.devcontainer/requirements.txt</t>
  </si>
  <si>
    <t>werkzeug</t>
  </si>
  <si>
    <t>118||7704||1||639||632||updated||onnxruntime||~=1.17;platform_machine == 'aarch64'||~=1.20;platform_machine == 'aarch64' and python_version &gt;= '3.10'||||c62e6e7892cebae7f091030b6708deac2b7c8b80||pyproject.toml</t>
  </si>
  <si>
    <t>onnxruntime</t>
  </si>
  <si>
    <t>~=1.17;platform_machine == 'aarch64'</t>
  </si>
  <si>
    <t>~=1.20;platform_machine == 'aarch64' and python_version &gt;= '3.10'</t>
  </si>
  <si>
    <t>c62e6e7892cebae7f091030b6708deac2b7c8b80</t>
  </si>
  <si>
    <t>https://github.com/triton-inference-server/model_navigator/commit/c62e6e7892cebae7f091030b6708deac2b7c8b80</t>
  </si>
  <si>
    <t>1929||67180||1||6132||6131||migration||aioprometheus||||||prometheus-client||ef978fe4111b0eb91c81eceba4d9791b94c7ffbf||requirements.txt</t>
  </si>
  <si>
    <t>aioprometheus</t>
  </si>
  <si>
    <t>ef978fe4111b0eb91c81eceba4d9791b94c7ffbf</t>
  </si>
  <si>
    <t>https://github.com/vllm-project/vllm/commit/ef978fe4111b0eb91c81eceba4d9791b94c7ffbf</t>
  </si>
  <si>
    <t>https://github.com/vllm-project/vllm/releases/tag/v0.3.3</t>
  </si>
  <si>
    <t>37||2403||1||149||148||updated||openvino||==2024.1.0||==2024.3.0||||d0fb676f7ca226f53a52909c2435cd06bb7815cb||requirements.txt</t>
  </si>
  <si>
    <t>openvino</t>
  </si>
  <si>
    <t>d0fb676f7ca226f53a52909c2435cd06bb7815cb</t>
  </si>
  <si>
    <t>https://github.com/stanford-crfm/helm/commit/d0fb676f7ca226f53a52909c2435cd06bb7815cb</t>
  </si>
  <si>
    <t>https://github.com/stanford-crfm/helm/releases/tag/v0.5.3</t>
  </si>
  <si>
    <t>408||16876||1||1450||1449||updated||debugpy||^1.8.0||^1.8.6||||364d1cddd5ae13a9f8c1cb197668efd78f242b63||pyproject.toml</t>
  </si>
  <si>
    <t>^1.8.0</t>
  </si>
  <si>
    <t>^1.8.6</t>
  </si>
  <si>
    <t>364d1cddd5ae13a9f8c1cb197668efd78f242b63</t>
  </si>
  <si>
    <t>https://github.com/apocas/restai/commit/364d1cddd5ae13a9f8c1cb197668efd78f242b63</t>
  </si>
  <si>
    <t>https://github.com/apocas/restai/releases/tag/v5.0.3</t>
  </si>
  <si>
    <t>3612||149926||1||13078||13077||updated||ipywidgets||^8.0.0rc2||&gt;=8.0.0rc2||||53eedc80bdb6c36f4b4022fd5edda03ce36f48b3||pyproject.toml</t>
  </si>
  <si>
    <t>^8.0.0rc2</t>
  </si>
  <si>
    <t>&gt;=8.0.0rc2</t>
  </si>
  <si>
    <t>3308||110330||1||11235||11233||removed||coverage||^7.6.4||||||706ca2bda7888f2dfe076f0652c5e311314f0f54||pyproject.toml</t>
  </si>
  <si>
    <t>coverage</t>
  </si>
  <si>
    <t>^7.6.4</t>
  </si>
  <si>
    <t>2854||97877||1||8524||8523||migration||demjson||==2.2.4||||demjson3||a7be5d4e8ba48f84fd6c074de06e9bdb49b7630d||requirements.txt</t>
  </si>
  <si>
    <t>demjson</t>
  </si>
  <si>
    <t>demjson3</t>
  </si>
  <si>
    <t>a7be5d4e8ba48f84fd6c074de06e9bdb49b7630d</t>
  </si>
  <si>
    <t>https://github.com/infiniflow/ragflow/commit/a7be5d4e8ba48f84fd6c074de06e9bdb49b7630d</t>
  </si>
  <si>
    <t>https://github.com/infiniflow/ragflow/releases/tag/v0.2.0</t>
  </si>
  <si>
    <t>38||2403||1||148||147||updated||certifi||==2024.7.4||==2024.8.30||||9b53b8d657625b2d5c7da0d4947cbde80ab02053||requirements.txt</t>
  </si>
  <si>
    <t>certifi</t>
  </si>
  <si>
    <t>9b53b8d657625b2d5c7da0d4947cbde80ab02053</t>
  </si>
  <si>
    <t>https://github.com/stanford-crfm/helm/commit/9b53b8d657625b2d5c7da0d4947cbde80ab02053</t>
  </si>
  <si>
    <t>https://github.com/stanford-crfm/helm/releases/tag/v0.5.4</t>
  </si>
  <si>
    <t>1230||46785||1||3374||3373||migration||tensorflow||~=2.16.1||||tensorflow-cpu||fc35a933a833910c686ec904ec7a110e9d2b0bdd||pyproject.toml</t>
  </si>
  <si>
    <t>~=2.16.1</t>
  </si>
  <si>
    <t>tensorflow-cpu</t>
  </si>
  <si>
    <t>fc35a933a833910c686ec904ec7a110e9d2b0bdd</t>
  </si>
  <si>
    <t>https://github.com/erfanzar/EasyDeL/commit/fc35a933a833910c686ec904ec7a110e9d2b0bdd</t>
  </si>
  <si>
    <t>https://github.com/erfanzar/EasyDeL/releases/tag/0.0.80</t>
  </si>
  <si>
    <t>782||25052||2||2293||2291||migration||passlib||[bcrypt] ~= 1.7.4||||bcrypt||8af1eded41d639d9baf41c48436ccd9a89665984||argilla-server/pyproject.toml</t>
  </si>
  <si>
    <t>passlib</t>
  </si>
  <si>
    <t>[bcrypt] ~= 1.7.4</t>
  </si>
  <si>
    <t>bcrypt</t>
  </si>
  <si>
    <t>8af1eded41d639d9baf41c48436ccd9a89665984</t>
  </si>
  <si>
    <t>https://github.com/Extralit/extralit/commit/8af1eded41d639d9baf41c48436ccd9a89665984</t>
  </si>
  <si>
    <t>2339||85311||1||7366||7365||removed||pyparsing||==2.4.7||||||53063015d59fffd87d16b8716a637e3351a97892||train/requirements.txt</t>
  </si>
  <si>
    <t>pyparsing</t>
  </si>
  <si>
    <t>931||34392||1||2655||2654||updated||uritemplate||==4.1.1 ; python_version &gt;= "3.11" and python_version &lt; "3.12"||~=4.1.1 ; python_version &gt;= "3.11" and python_version &lt; "3.12"||||8b53b4380dc9b9ff691eac79179a1a2006a3e644||requirements.txt</t>
  </si>
  <si>
    <t>uritemplate</t>
  </si>
  <si>
    <t>~=4.1.1 ; python_version &gt;= "3.11" and python_version &lt; "3.12"</t>
  </si>
  <si>
    <t>34||2403||1||152||151||updated||dacite||==1.6.0||==1.8.1||||30d7961369938493f4a106a767eae49e6078a57b||requirements.txt</t>
  </si>
  <si>
    <t>30d7961369938493f4a106a767eae49e6078a57b</t>
  </si>
  <si>
    <t>https://github.com/stanford-crfm/helm/commit/30d7961369938493f4a106a767eae49e6078a57b</t>
  </si>
  <si>
    <t>864||29556||1||2548||2547||updated||aiohttp||||==3.9.0b0||||5c68e4afa8953af118672807f69f29206c96038d||requirements.txt</t>
  </si>
  <si>
    <t>5c68e4afa8953af118672807f69f29206c96038d</t>
  </si>
  <si>
    <t>https://github.com/Desearch-ai/subnet-22/commit/5c68e4afa8953af118672807f69f29206c96038d</t>
  </si>
  <si>
    <t>https://github.com/Desearch-ai/subnet-22/releases/tag/0.0.58</t>
  </si>
  <si>
    <t>861||29536||1||2542||2541||added||langchain||0.3.12||||||5b4b29d693a21082d1c45dc30efa1d9c67b2c2d8||athena/evaluation/pyproject.toml</t>
  </si>
  <si>
    <t>0.3.12</t>
  </si>
  <si>
    <t>5b4b29d693a21082d1c45dc30efa1d9c67b2c2d8</t>
  </si>
  <si>
    <t>https://github.com/ls1intum/edutelligence/commit/5b4b29d693a21082d1c45dc30efa1d9c67b2c2d8</t>
  </si>
  <si>
    <t>https://github.com/ls1intum/edutelligence/releases/tag/v1.1.0</t>
  </si>
  <si>
    <t>athena/evaluation/pyproject.toml</t>
  </si>
  <si>
    <t>29||2403||1||157||156||updated||transformers||~=4.22.2  # For HuggingFace tokenizer||~=4.26.1||||7d4c11834ac83357917a7b63e89b35ce3e8e987a||requirements.txt</t>
  </si>
  <si>
    <t>~=4.22.2  # For HuggingFace tokenizer</t>
  </si>
  <si>
    <t>~=4.26.1</t>
  </si>
  <si>
    <t>ad51d22af63791b3c07205755e28d0ae19396a80</t>
  </si>
  <si>
    <t>https://github.com/stanford-crfm/helm/commit/ad51d22af63791b3c07205755e28d0ae19396a80</t>
  </si>
  <si>
    <t>https://github.com/stanford-crfm/helm/releases/tag/v0.2.2</t>
  </si>
  <si>
    <t>2932||99225||1||8625||8624||updated||wandb||==0.16.0||==0.21.0 \||||e9668b487f4325af265f72acdba97248bb01a222||requirements.txt</t>
  </si>
  <si>
    <t>782||25052||2||2293||2291||removed||segment-analytics-python||== 2.2.0||||||8af1eded41d639d9baf41c48436ccd9a89665984||argilla-server/pyproject.toml</t>
  </si>
  <si>
    <t>segment-analytics-python</t>
  </si>
  <si>
    <t>442||17600||1||1520||1519||updated||google-crc32c||==1.5.0||==1.6.0||||2b61ddfb80ac64b1188609ffb1da9099a72db9f7||requirements.txt</t>
  </si>
  <si>
    <t>google-crc32c</t>
  </si>
  <si>
    <t>2b61ddfb80ac64b1188609ffb1da9099a72db9f7</t>
  </si>
  <si>
    <t>https://github.com/swirlai/swirl-search/commit/2b61ddfb80ac64b1188609ffb1da9099a72db9f7</t>
  </si>
  <si>
    <t>https://github.com/swirlai/swirl-search/releases/tag/v3.8.0.0</t>
  </si>
  <si>
    <t>285||13815||1||990||989||added||pandas||==0.25.1||||||c984ee712028634f6b3fd62f0a92ea43bb991193||applications/question_answering/supervised_qa/faq_finance/requirements.txt</t>
  </si>
  <si>
    <t>c984ee712028634f6b3fd62f0a92ea43bb991193</t>
  </si>
  <si>
    <t>https://github.com/PaddlePaddle/PaddleNLP/commit/c984ee712028634f6b3fd62f0a92ea43bb991193</t>
  </si>
  <si>
    <t>https://github.com/PaddlePaddle/PaddleNLP/releases/tag/v2.4.9</t>
  </si>
  <si>
    <t>applications/question_answering/supervised_qa/faq_finance/requirements.txt</t>
  </si>
  <si>
    <t>937||34392||1||2649||2648||added||h2ogpte||^1.6.27.post1||||||633e2f31310ec0742c24b3197b388f3892e5b130||pyproject.toml</t>
  </si>
  <si>
    <t>h2ogpte</t>
  </si>
  <si>
    <t>^1.6.27.post1</t>
  </si>
  <si>
    <t>633e2f31310ec0742c24b3197b388f3892e5b130</t>
  </si>
  <si>
    <t>https://github.com/aiverify-foundation/moonshot-data/commit/633e2f31310ec0742c24b3197b388f3892e5b130</t>
  </si>
  <si>
    <t>680||21283||38||1921||1856||added||packaging||&lt;26||||||cb1fb7f27b9cc23dc12811c66367c602a6fa1295||pyproject.toml</t>
  </si>
  <si>
    <t>&lt;26</t>
  </si>
  <si>
    <t>cb1fb7f27b9cc23dc12811c66367c602a6fa1295</t>
  </si>
  <si>
    <t>https://github.com/mlflow/mlflow/commit/cb1fb7f27b9cc23dc12811c66367c602a6fa1295</t>
  </si>
  <si>
    <t>3684||157024||1||13249||13248||added||haystack-ai||&gt;=2.1.0||||||0c6bc46351c95dbea9ebfd2689b5768026b46c9a||pyproject.toml</t>
  </si>
  <si>
    <t>haystack-ai</t>
  </si>
  <si>
    <t>0c6bc46351c95dbea9ebfd2689b5768026b46c9a</t>
  </si>
  <si>
    <t>https://github.com/mobiusml/aana_sdk/commit/0c6bc46351c95dbea9ebfd2689b5768026b46c9a</t>
  </si>
  <si>
    <t>https://github.com/mobiusml/aana_sdk/releases/tag/v0.2.3</t>
  </si>
  <si>
    <t>2974||100900||2||8822||8821||added||multidict||==6.0.4 ; python_version &gt;= "3.9" and python_version &lt; "3.13"||||||5485c142e87a182f2eee713a6b056ee38bd901f5||server/requirements.txt</t>
  </si>
  <si>
    <t>3935||201480||1||13777||13776||updated||requests||*||||||185dbed8fe3cdaca8a0ea3377df9ed4ab00e3bb0||pyproject.toml</t>
  </si>
  <si>
    <t>185dbed8fe3cdaca8a0ea3377df9ed4ab00e3bb0</t>
  </si>
  <si>
    <t>https://github.com/medkit-lib/medkit/commit/185dbed8fe3cdaca8a0ea3377df9ed4ab00e3bb0</t>
  </si>
  <si>
    <t>870||29747||1||2551||2550||added||julius||==0.2.7||||||51a3437df456f98ffc05f52f5e47d50db28a1b40||requirements.txt</t>
  </si>
  <si>
    <t>julius</t>
  </si>
  <si>
    <t>1275||48921||5||3440||3439||updated||attrs||==17.4.0||==24.2.0; python_version &gt;= '3.12'||||7aee539e578cc8b70d1ef7b3a2ec9359573831b1||requirements.txt</t>
  </si>
  <si>
    <t>1005||35685||1||2731||2730||added||kernels||||||||806d1607571f27cffd62d5004a2bd15583ed0634||pyproject.toml</t>
  </si>
  <si>
    <t>kernels</t>
  </si>
  <si>
    <t>806d1607571f27cffd62d5004a2bd15583ed0634</t>
  </si>
  <si>
    <t>https://github.com/PrunaAI/pruna/commit/806d1607571f27cffd62d5004a2bd15583ed0634</t>
  </si>
  <si>
    <t>https://github.com/PrunaAI/pruna/releases/tag/v0.2.9</t>
  </si>
  <si>
    <t>3745||163227||1||13361||13360||removed||types-termcolor||==1.1.3||||||d76b8f3c8220fbcdf92bfbd9c24fb42838d224b7||requirements.txt</t>
  </si>
  <si>
    <t>types-termcolor</t>
  </si>
  <si>
    <t>3571||142988||1||12726||12725||added||transformers||||||||02f4c88314130e2b69548c8dec43fe836b84b20a||dataflux_pytorch/benchmark/standalone_dataloader/requirements.txt</t>
  </si>
  <si>
    <t>2265||77688||2||7043||7042||removed||unidecode||(&gt;=1.4.0,&lt;2.0.0)||||||ee64c2b5dcc8d21ee3257a51d62c58be20a03d03||pyproject.toml</t>
  </si>
  <si>
    <t>3343||113256||3||11561||11555||updated||numpy||||&lt;2.0.0||||ebb21b7fc78cf138d1b6eb36b09ac49ca25293db||requirements.txt</t>
  </si>
  <si>
    <t>&lt;2.0.0</t>
  </si>
  <si>
    <t>ebb21b7fc78cf138d1b6eb36b09ac49ca25293db</t>
  </si>
  <si>
    <t>https://github.com/volcengine/verl/commit/ebb21b7fc78cf138d1b6eb36b09ac49ca25293db</t>
  </si>
  <si>
    <t>1134||40772||1||2992||2991||updated||newrelic||10.16.0||10.17.0||||85f0ea8e7a28eabcaa143cdefaf3965d362ef2b6||genai-engine/pyproject.toml</t>
  </si>
  <si>
    <t>newrelic</t>
  </si>
  <si>
    <t>10.16.0</t>
  </si>
  <si>
    <t>10.17.0</t>
  </si>
  <si>
    <t>999||35685||1||2737||2736||added||datasets||&gt;=0.34||||||91c982cb31c908a76f28a70c17e95fd45a29423b||pyproject.toml</t>
  </si>
  <si>
    <t>&gt;=0.34</t>
  </si>
  <si>
    <t>91c982cb31c908a76f28a70c17e95fd45a29423b</t>
  </si>
  <si>
    <t>https://github.com/PrunaAI/pruna/commit/91c982cb31c908a76f28a70c17e95fd45a29423b</t>
  </si>
  <si>
    <t>https://github.com/PrunaAI/pruna/releases/tag/v0.2.3</t>
  </si>
  <si>
    <t>548||20474||1||1716||1715||removed||langchain-core||^0.2||||||1e1f5fd0b62a6057c0f4fa9b5b27061d44e60f3b||libs/knowledge-store/pyproject.toml</t>
  </si>
  <si>
    <t>2078||72168||1||6460||6459||added||lion-pytorch||==0.0.6||||||6a168cc8edbf7cf84fa9f51e3b981ee3f1acba02||scripts/dev/requirements.txt</t>
  </si>
  <si>
    <t>lion-pytorch</t>
  </si>
  <si>
    <t>scripts/dev/requirements.txt</t>
  </si>
  <si>
    <t>41||2403||1||145||144||updated||fonttools||==4.58.4||==4.59.0||||bc980eab496d8eea7b1a7d82066ac584bb668718||requirements.txt</t>
  </si>
  <si>
    <t>fonttools</t>
  </si>
  <si>
    <t>bc980eab496d8eea7b1a7d82066ac584bb668718</t>
  </si>
  <si>
    <t>https://github.com/stanford-crfm/helm/commit/bc980eab496d8eea7b1a7d82066ac584bb668718</t>
  </si>
  <si>
    <t>720||23336||1||2096||2095||updated||langchain||==0.1.0||&gt;=0.1.0||||cef7d208224b78ef8be4b964d218ab1b0a0d38e0||requirements.txt</t>
  </si>
  <si>
    <t>&gt;=0.1.0</t>
  </si>
  <si>
    <t>cef7d208224b78ef8be4b964d218ab1b0a0d38e0</t>
  </si>
  <si>
    <t>https://github.com/kadirnar/whisper-plus/commit/cef7d208224b78ef8be4b964d218ab1b0a0d38e0</t>
  </si>
  <si>
    <t>https://github.com/kadirnar/whisper-plus/releases/tag/v0.3.0</t>
  </si>
  <si>
    <t>2863||97877||1||8515||8514||removed||python-docx||==1.1.0||||||701e5be53549e3c0cb08a74db8012810a2e3738f||requirements.txt</t>
  </si>
  <si>
    <t>python-docx</t>
  </si>
  <si>
    <t>3347||114374||1||11892||11891||migration||promethues-eval||||||prometheus-eval||9ab8a7711a68ec53588676e17f61492e1ea67f9e||BiGGen-Bench/requirements.txt</t>
  </si>
  <si>
    <t>promethues-eval</t>
  </si>
  <si>
    <t>prometheus-eval</t>
  </si>
  <si>
    <t>9ab8a7711a68ec53588676e17f61492e1ea67f9e</t>
  </si>
  <si>
    <t>https://github.com/prometheus-eval/prometheus-eval/commit/9ab8a7711a68ec53588676e17f61492e1ea67f9e</t>
  </si>
  <si>
    <t>https://github.com/prometheus-eval/prometheus-eval/releases/tag/v0.1.18</t>
  </si>
  <si>
    <t>BiGGen-Bench/requirements.txt</t>
  </si>
  <si>
    <t>2265||77688||2||7043||7042||added||sqlite-vec||||||||cead31c06028f14b9d8f657956c695388f52f953||requirements.txt</t>
  </si>
  <si>
    <t>sqlite-vec</t>
  </si>
  <si>
    <t>cead31c06028f14b9d8f657956c695388f52f953</t>
  </si>
  <si>
    <t>https://github.com/M-Chimiste/TheseusInsight/commit/cead31c06028f14b9d8f657956c695388f52f953</t>
  </si>
  <si>
    <t>41||2403||1||145||144||removed||param||==2.2.1||||||bcf75ce74b2326fa815829da500eb5a0f9b821d9||requirements.txt</t>
  </si>
  <si>
    <t>param</t>
  </si>
  <si>
    <t>3684||157024||1||13249||13248||migration||faster-whisper||&gt;=1.0.1||||mobius-faster-whisper||12d4667ca3817c3b1106a49eea50204e2649b85f||pyproject.toml</t>
  </si>
  <si>
    <t>faster-whisper</t>
  </si>
  <si>
    <t>&gt;=1.0.1</t>
  </si>
  <si>
    <t>mobius-faster-whisper</t>
  </si>
  <si>
    <t>12d4667ca3817c3b1106a49eea50204e2649b85f</t>
  </si>
  <si>
    <t>https://github.com/mobiusml/aana_sdk/commit/12d4667ca3817c3b1106a49eea50204e2649b85f</t>
  </si>
  <si>
    <t>2137||74928||1||6722||6721||removed||cplex||||||||b33dd791d708a547b02d596a21e0daa98d89360b||requirements.txt</t>
  </si>
  <si>
    <t>cplex</t>
  </si>
  <si>
    <t>b33dd791d708a547b02d596a21e0daa98d89360b</t>
  </si>
  <si>
    <t>https://github.com/slideflow/slideflow/commit/b33dd791d708a547b02d596a21e0daa98d89360b</t>
  </si>
  <si>
    <t>https://github.com/slideflow/slideflow/releases/tag/3.0.0</t>
  </si>
  <si>
    <t>85||6567||1||304||303||updated||pydicom||&gt;=2.3.0||&gt;=2.3.0,&lt;3.0.0||||18090c60c62f2074eebe492f909f079d637df67c||presidio-image-redactor/Pipfile</t>
  </si>
  <si>
    <t>pydicom</t>
  </si>
  <si>
    <t>&gt;=2.3.0</t>
  </si>
  <si>
    <t>&gt;=2.3.0,&lt;3.0.0</t>
  </si>
  <si>
    <t>18090c60c62f2074eebe492f909f079d637df67c</t>
  </si>
  <si>
    <t>https://github.com/microsoft/presidio/commit/18090c60c62f2074eebe492f909f079d637df67c</t>
  </si>
  <si>
    <t>https://github.com/microsoft/presidio/releases/tag/2.2.34</t>
  </si>
  <si>
    <t>presidio-image-redactor/Pipfile</t>
  </si>
  <si>
    <t>2994||100900||2||8798||8779||added||rpds-py||==0.24.0 ; python_version &gt;= "3.9" and python_version &lt; "3.13"||||||8c2c348f3c4d1101e862af493b44e4986119b557||backends/gaudi/server/requirements.txt</t>
  </si>
  <si>
    <t>rpds-py</t>
  </si>
  <si>
    <t>3724||157633||1||13272||13271||removed||pytest-xdist||==2.1.0||||||19fe9e438766b3b2aa84b33f8b39c39bcafbb5d5||requirements.txt</t>
  </si>
  <si>
    <t>pytest-xdist</t>
  </si>
  <si>
    <t>19fe9e438766b3b2aa84b33f8b39c39bcafbb5d5</t>
  </si>
  <si>
    <t>https://github.com/GoogleCloudPlatform/dfcx-scrapi/commit/19fe9e438766b3b2aa84b33f8b39c39bcafbb5d5</t>
  </si>
  <si>
    <t>https://github.com/GoogleCloudPlatform/dfcx-scrapi/releases/tag/1.13.0</t>
  </si>
  <si>
    <t>2930||99225||1||8627||8626||added||bert-score||==0.3.13||||||cad929d2364294fd0875466f3b2722b9ac733f05||requirements.txt</t>
  </si>
  <si>
    <t>cad929d2364294fd0875466f3b2722b9ac733f05</t>
  </si>
  <si>
    <t>https://github.com/wandb/llm-leaderboard/commit/cad929d2364294fd0875466f3b2722b9ac733f05</t>
  </si>
  <si>
    <t>41||2403||1||145||144||updated||sentry-sdk||==2.30.0||==2.33.1||||bc980eab496d8eea7b1a7d82066ac584bb668718||requirements.txt</t>
  </si>
  <si>
    <t>3215||106057||1||10464||10463||updated||aiohttp||==3.9.5||==3.10.1||||a8ef93b5229aff65ac6112dc8a1451bbd938cd85||requirements.txt</t>
  </si>
  <si>
    <t>a8ef93b5229aff65ac6112dc8a1451bbd938cd85</t>
  </si>
  <si>
    <t>https://github.com/StephanAkkerman/fintwit-bot/commit/a8ef93b5229aff65ac6112dc8a1451bbd938cd85</t>
  </si>
  <si>
    <t>https://github.com/StephanAkkerman/fintwit-bot/releases/tag/v1.4.1</t>
  </si>
  <si>
    <t>2868||97877||1||8510||8509||migration||redis||5.0.3||||valkey||37d71dfa9067a8b68a94605dc76f466f97452fc9||pyproject.toml</t>
  </si>
  <si>
    <t>redis</t>
  </si>
  <si>
    <t>5.0.3</t>
  </si>
  <si>
    <t>valkey</t>
  </si>
  <si>
    <t>37d71dfa9067a8b68a94605dc76f466f97452fc9</t>
  </si>
  <si>
    <t>https://github.com/infiniflow/ragflow/commit/37d71dfa9067a8b68a94605dc76f466f97452fc9</t>
  </si>
  <si>
    <t>https://github.com/infiniflow/ragflow/releases/tag/v0.14.0</t>
  </si>
  <si>
    <t>239||11179||1||846||845||updated||matplotlib||&gt;=3.9.2||&gt;=3.10.5||||f6057bc5ab4dbfa358061bc16309e9075ba7baaa||pyproject.toml</t>
  </si>
  <si>
    <t>&gt;=3.9.2</t>
  </si>
  <si>
    <t>&gt;=3.10.5</t>
  </si>
  <si>
    <t>fireworks-ai</t>
  </si>
  <si>
    <t>^0.13.0</t>
  </si>
  <si>
    <t>&gt;=0.17.6</t>
  </si>
  <si>
    <t>1139||41254||1||3068||3067||added||contourpy||==1.3.1 ; sys_platform == 'darwin' or sys_platform == 'linux' \||||||bc002ad12d9c7692c273f2f6837b8b7b6fa8cf7a||requirements.txt</t>
  </si>
  <si>
    <t>2932||99225||1||8625||8624||added||azure-identity||==1.23.1 \||||||c5eab1cc6e695149d37a08a0bd4bcf5a10a0e027||requirements.txt</t>
  </si>
  <si>
    <t>azure-identity</t>
  </si>
  <si>
    <t>2265||77688||2||7043||7042||removed||python-dotenv||(&gt;=1.1.0,&lt;2.0.0)||||||ee64c2b5dcc8d21ee3257a51d62c58be20a03d03||pyproject.toml</t>
  </si>
  <si>
    <t>(&gt;=1.1.0,&lt;2.0.0)</t>
  </si>
  <si>
    <t>2974||100900||2||8822||8821||updated||transformers||^4.31.0||^4.32.1||||5485c142e87a182f2eee713a6b056ee38bd901f5||server/pyproject.toml</t>
  </si>
  <si>
    <t>^4.31.0</t>
  </si>
  <si>
    <t>^4.32.1</t>
  </si>
  <si>
    <t>37||2403||1||149||148||updated||pymoo||==0.6.1.1||==0.6.1.2||||d0fb676f7ca226f53a52909c2435cd06bb7815cb||requirements.txt</t>
  </si>
  <si>
    <t>pymoo</t>
  </si>
  <si>
    <t>1495||55592||1||4600||4588||added||rich||||||||06be6f409ac648b1f36d50849552a8dfce3d50d1||requirements.txt</t>
  </si>
  <si>
    <t>06be6f409ac648b1f36d50849552a8dfce3d50d1</t>
  </si>
  <si>
    <t>https://github.com/huggingface/trl/commit/06be6f409ac648b1f36d50849552a8dfce3d50d1</t>
  </si>
  <si>
    <t>https://github.com/huggingface/trl/releases/tag/v0.15.0</t>
  </si>
  <si>
    <t>2339||85311||1||7366||7365||removed||async-timeout||==3.0.1||||||53063015d59fffd87d16b8716a637e3351a97892||train/requirements.txt</t>
  </si>
  <si>
    <t>937||34392||1||2649||2648||updated||spacy||~=3.7.5 ; python_version &gt;= "3.11" and python_version &lt; "3.12"||~=3.8.5 ; python_version &gt;= "3.11" and python_version &lt; "3.12"||||ab3dcb0813273ae9cbc397f0fb83639dc2dabd74||requirements.txt</t>
  </si>
  <si>
    <t>~=3.7.5 ; python_version &gt;= "3.11" and python_version &lt; "3.12"</t>
  </si>
  <si>
    <t>~=3.8.5 ; python_version &gt;= "3.11" and python_version &lt; "3.12"</t>
  </si>
  <si>
    <t>442||17600||1||1520||1519||updated||safetensors||==0.4.3||==0.4.5||||2b61ddfb80ac64b1188609ffb1da9099a72db9f7||requirements.txt</t>
  </si>
  <si>
    <t>680||21283||38||1921||1856||updated||responses||==0.22.0||==0.25.3||||a3d451affa4e995297d612d8ab30d8d9f03fbb83||.devcontainer/requirements.txt</t>
  </si>
  <si>
    <t>responses</t>
  </si>
  <si>
    <t>a3d451affa4e995297d612d8ab30d8d9f03fbb83</t>
  </si>
  <si>
    <t>https://github.com/mlflow/mlflow/commit/a3d451affa4e995297d612d8ab30d8d9f03fbb83</t>
  </si>
  <si>
    <t>2284||82290||1||7237||7236||migration||pynvml||||||nvidia-ml-py||ce5bcff750c95530cc2dab2e0fe5aa0d547af923||requirements.txt</t>
  </si>
  <si>
    <t>be5fbcf5d8c72deadd91a905242fc8e0b6f1f646</t>
  </si>
  <si>
    <t>https://github.com/axolotl-ai-cloud/axolotl/commit/be5fbcf5d8c72deadd91a905242fc8e0b6f1f646</t>
  </si>
  <si>
    <t>https://github.com/axolotl-ai-cloud/axolotl/releases/tag/v0.6.0</t>
  </si>
  <si>
    <t>3727||162404||1||13321||13320||removed||pandas||||||||ef9324307d03c409a804ac0c1b3fcb64877f9652||requirements.txt</t>
  </si>
  <si>
    <t>ef9324307d03c409a804ac0c1b3fcb64877f9652</t>
  </si>
  <si>
    <t>https://github.com/xming521/WeClone/commit/ef9324307d03c409a804ac0c1b3fcb64877f9652</t>
  </si>
  <si>
    <t>https://github.com/xming521/WeClone/releases/tag/v0.2.0</t>
  </si>
  <si>
    <t>3559||140184||1||12708||12707||removed||numpy||==1.25.0||||||1a08ab7ac1a432a45c713b14faa9323fb3c4841e||components/model_service/requirements.txt</t>
  </si>
  <si>
    <t>442||17600||1||1520||1519||updated||rpds-py||==0.19.0||==0.20.0||||2b61ddfb80ac64b1188609ffb1da9099a72db9f7||requirements.txt</t>
  </si>
  <si>
    <t>3343||113256||3||11561||11555||removed||accelerate||||||||1b8b0e83b8cf5aa0aa3861b5b3b402e1423de8a5||pyproject.toml</t>
  </si>
  <si>
    <t>1b8b0e83b8cf5aa0aa3861b5b3b402e1423de8a5</t>
  </si>
  <si>
    <t>https://github.com/volcengine/verl/commit/1b8b0e83b8cf5aa0aa3861b5b3b402e1423de8a5</t>
  </si>
  <si>
    <t>442||17600||1||1520||1519||updated||cachetools||==5.3.3||==5.5.0||||2b61ddfb80ac64b1188609ffb1da9099a72db9f7||requirements.txt</t>
  </si>
  <si>
    <t>2877||97877||1||8501||8499||added||slowapi||&gt;=0.1.9||||||2d7c1368f035105b50075907f76e5a9d32d6c16b||sandbox/pyproject.toml</t>
  </si>
  <si>
    <t>slowapi</t>
  </si>
  <si>
    <t>&gt;=0.1.9</t>
  </si>
  <si>
    <t>2d7c1368f035105b50075907f76e5a9d32d6c16b</t>
  </si>
  <si>
    <t>https://github.com/infiniflow/ragflow/commit/2d7c1368f035105b50075907f76e5a9d32d6c16b</t>
  </si>
  <si>
    <t>https://github.com/infiniflow/ragflow/releases/tag/v0.19.1</t>
  </si>
  <si>
    <t>sandbox/pyproject.toml</t>
  </si>
  <si>
    <t>4368||268650||1||15465||15464||updated||markdown||==3.6||==3.7||||98e10eaf5c225995a9fa6b34a25b715cd01a542a||requirements.txt</t>
  </si>
  <si>
    <t>268||11941||1||909||908||removed||transformers||||||||5230cfac71c55d26f340f5ae7d45fddf4a12d87f||results/RadFM/requirements.txt</t>
  </si>
  <si>
    <t>5230cfac71c55d26f340f5ae7d45fddf4a12d87f</t>
  </si>
  <si>
    <t>https://github.com/corentin-ryr/MultiMedEval/commit/5230cfac71c55d26f340f5ae7d45fddf4a12d87f</t>
  </si>
  <si>
    <t>results/RadFM/requirements.txt</t>
  </si>
  <si>
    <t>1880||64011||1||5893||5892||added||extra-streamlit-components||==0.1.60||||||df8912d08b8076f07055852fd1f9eb64d7b62779||requirements.txt</t>
  </si>
  <si>
    <t>extra-streamlit-components</t>
  </si>
  <si>
    <t>df8912d08b8076f07055852fd1f9eb64d7b62779</t>
  </si>
  <si>
    <t>https://github.com/stanford-oval/storm/commit/df8912d08b8076f07055852fd1f9eb64d7b62779</t>
  </si>
  <si>
    <t>https://github.com/stanford-oval/storm/releases/tag/v0.2.0</t>
  </si>
  <si>
    <t>3811||180769||1||13526||13525||migration||sklearn||||||scikit-learn||a229c87129374c73a252221d77d44f3b24b08f71||syne_tune/blackbox_repository/requirements.txt</t>
  </si>
  <si>
    <t>a229c87129374c73a252221d77d44f3b24b08f71</t>
  </si>
  <si>
    <t>https://github.com/syne-tune/syne-tune/commit/a229c87129374c73a252221d77d44f3b24b08f71</t>
  </si>
  <si>
    <t>syne_tune/blackbox_repository/requirements.txt</t>
  </si>
  <si>
    <t>1538||55594||1||4668||4667||added||pytest-rerunfailures||==12.0||||||b1cfe7624a828cd667c45947e71368ad06ae60b8||requirements.txt</t>
  </si>
  <si>
    <t>b1cfe7624a828cd667c45947e71368ad06ae60b8</t>
  </si>
  <si>
    <t>https://github.com/snowflakedb/snowflake-ml-python/commit/b1cfe7624a828cd667c45947e71368ad06ae60b8</t>
  </si>
  <si>
    <t>https://github.com/snowflakedb/snowflake-ml-python/releases/tag/1.4.0</t>
  </si>
  <si>
    <t>3736||163227||1||13374||13371||removed||pillow||==9.0.1||||||9f7a67d791638ad558babdf7abdb00cda2a4f7a1||requirements.txt</t>
  </si>
  <si>
    <t>9f7a67d791638ad558babdf7abdb00cda2a4f7a1</t>
  </si>
  <si>
    <t>https://github.com/deepdoctection/deepdoctection/commit/9f7a67d791638ad558babdf7abdb00cda2a4f7a1</t>
  </si>
  <si>
    <t>https://github.com/deepdoctection/deepdoctection/releases/tag/v.0.16</t>
  </si>
  <si>
    <t>680||21283||38||1921||1856||updated||scikit-learn||==1.1.3||==1.5.2||||e7c55eeb20d58945c8f54708466a577b37b349dc||.devcontainer/requirements.txt</t>
  </si>
  <si>
    <t>2932||99225||1||8625||8624||added||tree-sitter-javascript||==0.21.4 \||||||7d3befebd2126c0244cc5db4339c84179450b78a||requirements.txt</t>
  </si>
  <si>
    <t>tree-sitter-javascript</t>
  </si>
  <si>
    <t>92||6567||1||297||296||migration||flake8||&gt;=3.7||||ruff||cb0184afa2504b3084faead98e103186c43e47f4||presidio-cli/Pipfile</t>
  </si>
  <si>
    <t>&gt;=3.7</t>
  </si>
  <si>
    <t>ruff</t>
  </si>
  <si>
    <t>cb0184afa2504b3084faead98e103186c43e47f4</t>
  </si>
  <si>
    <t>https://github.com/microsoft/presidio/commit/cb0184afa2504b3084faead98e103186c43e47f4</t>
  </si>
  <si>
    <t>presidio-cli/Pipfile</t>
  </si>
  <si>
    <t>870||29747||1||2551||2550||added||attrs||==22.2.0||||||ef34610828357384418cbd6d2d16bed3463ee01c||pyproject.toml</t>
  </si>
  <si>
    <t>942||34392||1||2644||2643||updated||murmurhash||~=1.0.12 ; python_version &gt;= "3.11" and python_version &lt; "3.12"||==1.0.12 ; python_version &gt;= "3.11" and python_version &lt; "3.12"||||4a07137cb86e9330757125d22ebc693c11993735||requirements.txt</t>
  </si>
  <si>
    <t>murmurhash</t>
  </si>
  <si>
    <t>~=1.0.12 ; python_version &gt;= "3.11" and python_version &lt; "3.12"</t>
  </si>
  <si>
    <t>2090||73012||1||6577||6576||added||pyuca||==1.2||||||d2d8f5dca5a3f9d1b8baf0a93f0144fde46e0ac5||requirements.txt</t>
  </si>
  <si>
    <t>pyuca</t>
  </si>
  <si>
    <t>d2d8f5dca5a3f9d1b8baf0a93f0144fde46e0ac5</t>
  </si>
  <si>
    <t>https://github.com/munger1985/kbot/commit/d2d8f5dca5a3f9d1b8baf0a93f0144fde46e0ac5</t>
  </si>
  <si>
    <t>https://github.com/munger1985/kbot/releases/tag/v2.1</t>
  </si>
  <si>
    <t>782||25052||2||2293||2291||added||pymupdf||==1.26.0||||||c6eadab07339675d776ce77c06a7aa3fc0d84240||extralit/pyproject.toml</t>
  </si>
  <si>
    <t>2867||97877||1||8511||8510||updated||dashscope||1.14.1||1.20.11||||6a60e260202114852a919aebdee8e2c968a0fa05||pyproject.toml</t>
  </si>
  <si>
    <t>dashscope</t>
  </si>
  <si>
    <t>1.14.1</t>
  </si>
  <si>
    <t>1.20.11</t>
  </si>
  <si>
    <t>6a60e260202114852a919aebdee8e2c968a0fa05</t>
  </si>
  <si>
    <t>https://github.com/infiniflow/ragflow/commit/6a60e260202114852a919aebdee8e2c968a0fa05</t>
  </si>
  <si>
    <t>https://github.com/infiniflow/ragflow/releases/tag/v0.13.0</t>
  </si>
  <si>
    <t>680||21283||38||1921||1856||removed||mccabe||==0.7.0||||||2fd257c8e5d4ac95a0b1d03e64fb0214c2e42057||.devcontainer/requirements.txt</t>
  </si>
  <si>
    <t>mccabe</t>
  </si>
  <si>
    <t>1844||62938||1||5790||5788||added||prompt-toolkit||==3.0.48||||||2e8a37c4d5f63d8c90d019cb280575c5c6298bf4||install/requirements.txt</t>
  </si>
  <si>
    <t>prompt-toolkit</t>
  </si>
  <si>
    <t>2e8a37c4d5f63d8c90d019cb280575c5c6298bf4</t>
  </si>
  <si>
    <t>https://github.com/SaintsSec/Navi/commit/2e8a37c4d5f63d8c90d019cb280575c5c6298bf4</t>
  </si>
  <si>
    <t>https://github.com/SaintsSec/Navi/releases/tag/1.0.0</t>
  </si>
  <si>
    <t>install/requirements.txt</t>
  </si>
  <si>
    <t>number_row_keys</t>
  </si>
  <si>
    <t>change_name</t>
  </si>
  <si>
    <t>doc_type</t>
  </si>
  <si>
    <t>url</t>
  </si>
  <si>
    <t>raw_text</t>
  </si>
  <si>
    <t>['3090||101373||1||8979||8977||migration||grain-nightly||||||grain||d931f5e2a5424f05693cbef286ac03344f25c611||requirements.txt']</t>
  </si>
  <si>
    <t>['migration']</t>
  </si>
  <si>
    <t>['grain-nightly']</t>
  </si>
  <si>
    <t>[nan]</t>
  </si>
  <si>
    <t>['grain']</t>
  </si>
  <si>
    <t>commit</t>
  </si>
  <si>
    <t>support parquet dataset in grain and refactor</t>
  </si>
  <si>
    <t>pull_request</t>
  </si>
  <si>
    <t>https://github.com/AI-Hypercomputer/maxtext/pull/1535</t>
  </si>
  <si>
    <t>support parquet dataset in grain and refactor Usage demo of using grain with parquet files migrate grain to the recommended lazy data API refactor grain to separate pretrain and dpo preprocessing pipelines</t>
  </si>
  <si>
    <t>['782||25052||2||2293||2291||added||llama-index-vector-stores-weaviate||~= 1.0.0||||||c6eadab07339675d776ce77c06a7aa3fc0d84240||extralit/pyproject.toml']</t>
  </si>
  <si>
    <t>['added']</t>
  </si>
  <si>
    <t>['llama-index-vector-stores-weaviate']</t>
  </si>
  <si>
    <t>['~= 1.0.0']</t>
  </si>
  <si>
    <t>Update dependencies in pyproject.toml to align with project requirements</t>
  </si>
  <si>
    <t>['3502||132324||1||12465||12464||added||bert-score||^0.3.13||||||6584d5e43a776cb70e4bd6d5099bc9450c4ccdd4||pyproject.toml']</t>
  </si>
  <si>
    <t>['bert-score']</t>
  </si>
  <si>
    <t>['^0.3.13']</t>
  </si>
  <si>
    <t>https://github.com/ITM-Kitware/align-system/pull/19</t>
  </si>
  <si>
    <t>Dev/change bert score implementation Change bert implementation over to the more standard (or so it seems at least): https://github.com/Tiiiger/bert_score</t>
  </si>
  <si>
    <t>['4189||233801||1||15053||15052||removed||httpx||==0.25.2||||||10f618cbbc60956873c76456fbbe4e61040aa93b||grutopia_extension/agents/mobile_manipulation_agent/requirements.txt']</t>
  </si>
  <si>
    <t>['removed']</t>
  </si>
  <si>
    <t>['httpx']</t>
  </si>
  <si>
    <t>https://github.com/InternRobotics/InternUtopia/commit/10f618cbbc60956873c76456fbbe4e61040aa93b</t>
  </si>
  <si>
    <t>[feat] Remove benchmark related content</t>
  </si>
  <si>
    <t>['1003||35685||1||2733||2732||removed||peft||||||||3acd8617d7098d385652cf3c0806cd230ef2c0ca||pyproject.toml']</t>
  </si>
  <si>
    <t>['peft']</t>
  </si>
  <si>
    <t>build: reduce core dependencies in pyproject.toml * remove not required deps. make more deps optional.</t>
  </si>
  <si>
    <t>['997||35685||1||2739||2738||migration||auto-gptq||*||||gptqmodel||db761d5ba5cdd2cafb1f645c0969da44c85ba3d1||pyproject.toml']</t>
  </si>
  <si>
    <t>['auto-gptq']</t>
  </si>
  <si>
    <t>['*']</t>
  </si>
  <si>
    <t>['gptqmodel']</t>
  </si>
  <si>
    <t>issue</t>
  </si>
  <si>
    <t>https://github.com/PrunaAI/pruna/issues/21</t>
  </si>
  <si>
    <t>[BUG] Pruna installation fails with Python 3.12 Pruna installation fails with Python 3.12 due to auto-gptq.</t>
  </si>
  <si>
    <t>https://github.com/PrunaAI/pruna/issues/225</t>
  </si>
  <si>
    <t>Reduce the amount of core dependencies in pyproject.toml I was exploring the pyproject.toml for the project and I noticed some dependencies that can be safely removed in the [project] section without any major breaking changes. Firstly, setuptools and packaging is not required to be in the dependencies as hatchling is a PEP517 compliant and it implements the same functionality without the usage of setuptools and packaging. Using the grep and find command, I found that some dependencies are not explicitly used in the codebase, we could make these dependencies optional to reduce the size of the library and make it efficient as well.</t>
  </si>
  <si>
    <t>https://github.com/PrunaAI/pruna/pull/227</t>
  </si>
  <si>
    <t>build: reduce core dependencies in pyproject.toml As described in the issue, I have removed the redundant packaging libraries which are handled by hatchling (setuptools,packaging,build) and reduced the number of core dependencies required for the package. All the dependencies which are not explicitly imported are kept in the optional dependencies. pip install .` [this branch] =161 packages (20% reduction)</t>
  </si>
  <si>
    <t>https://github.com/PrunaAI/pruna/pull/41</t>
  </si>
  <si>
    <t>AutoGPTQ is now deprecated. This PR switches our GPTQ algorithm to gptqmodel instead. autogptq already caused problems with supporting python 3.12.</t>
  </si>
  <si>
    <t>release</t>
  </si>
  <si>
    <t>build: reduce core dependencies in pyproject.toml by @ParagEkbote in #227 @ParagEkbote made pruna more lightweight and reduced the package dependencies by 20%!</t>
  </si>
  <si>
    <t>['1844||62938||1||5790||5788||added||prompt-toolkit||==3.0.48||||||2e8a37c4d5f63d8c90d019cb280575c5c6298bf4||install/requirements.txt']</t>
  </si>
  <si>
    <t>['prompt-toolkit']</t>
  </si>
  <si>
    <t>[FIX] Missing install</t>
  </si>
  <si>
    <t>https://github.com/SaintsSec/Navi/pull/99</t>
  </si>
  <si>
    <t>[ADD] Command history. After evaluating numerous approaches towards enabling command history in the terminal, I landed on the prompt_toolkit library due to its easy setup, robust toolsets, and cross-platform design.</t>
  </si>
  <si>
    <t>['1465||55589||1||4569||4568||added||einops||==0.7.0||||||16866336b74743706c6d1cd8c6aa650574176f3f||inference/requirements.txt']</t>
  </si>
  <si>
    <t>['einops']</t>
  </si>
  <si>
    <t>https://github.com/ShishirPatil/gorilla/pull/343</t>
  </si>
  <si>
    <t>Update requirements.txt Running gorilla_falcon_cli.py withou einops package returns the following error: ImportError: This modeling file requires the following packages that were not found in your environment: einops. Run pip install einops</t>
  </si>
  <si>
    <t>['1469||55589||1||4565||4564||updated||mistralai||==1.1.0||==1.7.0||||9d6abd543580055e44b6d57b2cbdcc7cf8a76f06||berkeley-function-call-leaderboard/pyproject.toml']</t>
  </si>
  <si>
    <t>['updated']</t>
  </si>
  <si>
    <t>['mistralai']</t>
  </si>
  <si>
    <t>['1.1.0']</t>
  </si>
  <si>
    <t>['1.7.0']</t>
  </si>
  <si>
    <t>https://github.com/ShishirPatil/gorilla/pull/988</t>
  </si>
  <si>
    <t>Add the following new models to the leaderboard: mistral-large-2411 mistral-large-2411-FC mistral-small-2503 mistral-small-2503-FC</t>
  </si>
  <si>
    <t>['2383||86906||1||7492||7491||migration||torchtyping||^0.1.4||||jaxtyping||30ed77338f54b765a80d7e12d8fa24b5281c3145||pyproject.toml']</t>
  </si>
  <si>
    <t>['torchtyping']</t>
  </si>
  <si>
    <t>['^0.1.4']</t>
  </si>
  <si>
    <t>['jaxtyping']</t>
  </si>
  <si>
    <t>https://github.com/TransformerLensOrg/TransformerLens/issues/164</t>
  </si>
  <si>
    <t>Convert all TorchTyping to JaxTyping This project uses Patrick Kidger's torch typing to give tensor types including shapes. He recommends using JAXTyping for newer projects (not JAX specific, better maintained, more compatible with type checkers, etc) And it'd be good to update TL to use it.</t>
  </si>
  <si>
    <t>['2387||86906||1||7488||7487||migration||typeguard||^3.0.2||||beartype||10d2f8a026d73eada861c7d51064f7e24d8f482c||pyproject.toml']</t>
  </si>
  <si>
    <t>['typeguard']</t>
  </si>
  <si>
    <t>['^3.0.2']</t>
  </si>
  <si>
    <t>['beartype']</t>
  </si>
  <si>
    <t>https://github.com/TransformerLensOrg/TransformerLens/pull/325</t>
  </si>
  <si>
    <t>Switching to beartype from typeguard due to incompatibility with jaxtyping on the latest version</t>
  </si>
  <si>
    <t>['931||34392||1||2655||2654||updated||nltk||3.9.1||^3.9.1||||0cc1c52650ad9c808e3da8da525648d4cab39380||pyproject.toml', '931||34392||1||2655||2654||updated||bert-score||0.3.13||^0.3.13||||0cc1c52650ad9c808e3da8da525648d4cab39380||pyproject.toml']</t>
  </si>
  <si>
    <t>['updated', 'updated']</t>
  </si>
  <si>
    <t>['nltk', 'bert-score']</t>
  </si>
  <si>
    <t>['3.9.1', '0.3.13']</t>
  </si>
  <si>
    <t>[nan, nan]</t>
  </si>
  <si>
    <t>['^3.9.1', '^0.3.13']</t>
  </si>
  <si>
    <t>update pypoetry to use compatibility</t>
  </si>
  <si>
    <t>['927||34392||1||2659||2658||updated||datasets||==2.14.4 ; python_version &gt;= "3.11" and python_version &lt; "3.12"||==2.21.0 ; python_version &gt;= "3.11" and python_version &lt; "3.12"||||edb401f4f5910d475b9ba698233913cb1450f046||requirements.txt']</t>
  </si>
  <si>
    <t>['datasets']</t>
  </si>
  <si>
    <t>https://github.com/aiverify-foundation/moonshot-data/pull/93</t>
  </si>
  <si>
    <t>Update package requirements incompatibility with moonshot-data To update package requirements. There is an error in the unit tests that failed due to the difference in datasets packages between both projects</t>
  </si>
  <si>
    <t>[Ms 524][BE] Fix datasets package incompatibility</t>
  </si>
  <si>
    <t>['1133||40772||1||2993||2992||updated||python-dotenv||==1.0.1||==1.1.1||||d4928e59a3d89f3ed94c03f960db809a3b6686ed||genai-engine/locust/requirements.txt']</t>
  </si>
  <si>
    <t>['python-dotenv']</t>
  </si>
  <si>
    <t>chore: upgrade Python version and dependencies across the project</t>
  </si>
  <si>
    <t>['2281||82290||1||7240||7239||added||s3fs||||||||3cc67d2cdd95196e4e9ae28fe2c6512092100e21||requirements.txt']</t>
  </si>
  <si>
    <t>['s3fs']</t>
  </si>
  <si>
    <t>Feat: Add dataset loading from S3, GCS</t>
  </si>
  <si>
    <t>['2291||82290||1||7225||7223||updated||trl||==0.18.2||==0.21.0||||9d5c95db6f4d883252fdb1183e82d0b354ff76a2||requirements.txt']</t>
  </si>
  <si>
    <t>['trl']</t>
  </si>
  <si>
    <t>https://github.com/axolotl-ai-cloud/axolotl/pull/3019</t>
  </si>
  <si>
    <t>Updated dependency versions and added new dependencies for improved compatibility.</t>
  </si>
  <si>
    <t>https://github.com/axolotl-ai-cloud/axolotl/pull/765</t>
  </si>
  <si>
    <t>['2740||96297||1||8105||8104||migration||pynvml||&lt;12||||nvidia-ml-py||a59750c5044bab60b6b3765e6c17041fd8984712||pyproject.toml']</t>
  </si>
  <si>
    <t>['pynvml']</t>
  </si>
  <si>
    <t>['&lt;12']</t>
  </si>
  <si>
    <t>['nvidia-ml-py']</t>
  </si>
  <si>
    <t>build: Use official nvidia-ml-py package instead of fork</t>
  </si>
  <si>
    <t>https://github.com/bentoml/BentoML/pull/4208</t>
  </si>
  <si>
    <t>There are two packages in PyPI installing a pynvml module - pynvml and nvidia-ml-py. The former is a forked version of the latter, which is the official package published by NVIDIA. I stumbled upon this because I built a virtual environment that also installs gpustat, and that failed because that package pulls in nvidia-ml-py, thus overwriting the BentoML dependency.</t>
  </si>
  <si>
    <t>['713||22246||1||2056||2054||updated||torch||~=2.0||&gt;=2.0,&lt;3||||6de46d99b35df53021bbc95aeffcb7bb41efa131||pyproject.toml']</t>
  </si>
  <si>
    <t>['torch']</t>
  </si>
  <si>
    <t>['~=2.0']</t>
  </si>
  <si>
    <t>['&gt;=2.0,&lt;3']</t>
  </si>
  <si>
    <t>https://github.com/bitsandbytes-foundation/bitsandbytes/issues/1490</t>
  </si>
  <si>
    <t>bitsandbytes forces non-dev version of PyTorch When I have a dev version of PyTorch installed, the ~=2.0 dependency appears to cause PyTorch to be downgraded, which might not be intended. Quite likely &gt;=2.0&lt;3 would work better.</t>
  </si>
  <si>
    <t>['1373||53462||1||4379||4378||added||terminado||&lt;0.18||||||6577a26ca799c15649d1133553015d8f44aaefd2||pyproject.toml']</t>
  </si>
  <si>
    <t>['terminado']</t>
  </si>
  <si>
    <t>['&lt;0.18']</t>
  </si>
  <si>
    <t>https://github.com/davidberenstein1957/classy-classification/issues/46</t>
  </si>
  <si>
    <t>The current version of package is unstable and exceptions occur I try to use the package with ONNX runtime, but the current version works very unstable and doesn't work in most cases.
Also it seems fast-sentence-transformers package is outdated.
I try to run examples from Readme and I get errors. It seems the dependency versions currently specified in pyproject.toml are not fully compatible with the package code. I think we need to specify the version ranges of the major dependencies with which the package will definitely work without errors (I hope semver will work). spaCy, sentence-transformers, transformers, onnx/onnxruntime. Also it seems fast-sentence-transformers package is outdated for the current version of sentence-transformers package.</t>
  </si>
  <si>
    <t>['2237||76664||1||6947||6946||migration||pynvml||||||nvidia-ml-py||82ce4ae815d6cab4ffea97427dfa1e0b0ff59f93||requirements/requirements.txt']</t>
  </si>
  <si>
    <t>https://github.com/deepspeedai/DeepSpeed/issues/5517</t>
  </si>
  <si>
    <t>[REQUEST] pynvml package seems to be deprecated in favor of nvidia-ml-py Managing package dependencies is complicated by deepspeed having a requirement of pynvml instead of nvidia-ml-py. It seems that pynvml has been folded back into the nvidia-ml-py project, as both seem to have nearly identical pypi pages, but nvidia-ml-py has been updated recently while pynvml has been dormant for a year. Please replace the pynvml entry in requirements.txt with nvidia-ml-py. At some point, it's likely that pynvml 11.5 will stop working with updated nvidia drivers unless it starts getting updates again.</t>
  </si>
  <si>
    <t>['1231||46785||1||3373||3372||migration||fjformer||0.0.91||||eformer||1d1c71f12f1d4c0dd2c7598a272f26ae926a312a||pyproject.toml']</t>
  </si>
  <si>
    <t>['fjformer']</t>
  </si>
  <si>
    <t>['0.0.91']</t>
  </si>
  <si>
    <t>['eformer']</t>
  </si>
  <si>
    <t>moving from fjformer -&gt; eformer, fixing hackable arrays or implicit issues</t>
  </si>
  <si>
    <t>['1675||56906||1||4983||4982||added||tensorboard||==2.14.0||||||74aa7d964a8fbb9a9a4865ecd9ac2bda817c3ef2||applications/Colossal-LLaMA-2/requirements.txt']</t>
  </si>
  <si>
    <t>['tensorboard']</t>
  </si>
  <si>
    <t>https://github.com/hpcaitech/ColossalAI/pull/4784</t>
  </si>
  <si>
    <t>[feature] Colossal-LLaMA-2: Continual Pre-training of LLaMA-2 Add project for continual pre-training of LLaMA-2.</t>
  </si>
  <si>
    <t>['1676||56906||1||4982||4981||added||pytest||==7.4.2||||||e53e729d8ed3571835b259b04efe474e51f4624a||applications/ColossalQA/requirements.txt']</t>
  </si>
  <si>
    <t>['pytest']</t>
  </si>
  <si>
    <t>https://github.com/hpcaitech/ColossalAI/pull/5020</t>
  </si>
  <si>
    <t>add pytest; modified retriever [Feature] Add document retrieval QA</t>
  </si>
  <si>
    <t>['2863||97877||1||8515||8514||removed||fsspec||==2023.10.0||||||701e5be53549e3c0cb08a74db8012810a2e3738f||requirements.txt', '2863||97877||1||8515||8514||removed||python-docx||==1.1.0||||||701e5be53549e3c0cb08a74db8012810a2e3738f||requirements.txt']</t>
  </si>
  <si>
    <t>['removed', 'removed']</t>
  </si>
  <si>
    <t>['fsspec', 'python-docx']</t>
  </si>
  <si>
    <t>https://github.com/infiniflow/ragflow/issues/1547</t>
  </si>
  <si>
    <t>[Bug]: requirements.txt can't install successfully</t>
  </si>
  <si>
    <t>['2867||97877||1||8511||8510||updated||dashscope||1.14.1||1.20.11||||6a60e260202114852a919aebdee8e2c968a0fa05||pyproject.toml']</t>
  </si>
  <si>
    <t>['dashscope']</t>
  </si>
  <si>
    <t>['1.14.1']</t>
  </si>
  <si>
    <t>['1.20.11']</t>
  </si>
  <si>
    <t>https://github.com/infiniflow/ragflow/issues/2857</t>
  </si>
  <si>
    <t>[Question]: Add qwen-plus in docker self-hosted server Get the api-key in alibaba cloud, it works well with python examples, through url: https://dashscope-intl.aliyuncs.com/api/v1. But when trying to add in ragflow web, get an error message:
hint : 102
Fail to access model(qwen-plus) using this api key.ERROR: Invalid API-key provided.</t>
  </si>
  <si>
    <t>['2868||97877||1||8510||8509||migration||redis||5.0.3||||valkey||37d71dfa9067a8b68a94605dc76f466f97452fc9||pyproject.toml']</t>
  </si>
  <si>
    <t>['redis']</t>
  </si>
  <si>
    <t>['5.0.3']</t>
  </si>
  <si>
    <t>['valkey']</t>
  </si>
  <si>
    <t>https://github.com/infiniflow/ragflow/issues/3070</t>
  </si>
  <si>
    <t>[Feature Request]: Switch from Redis to Valkey 8.x The changes to Redis' latest licencing model move it away from a true open-source model and may restrict how Ragflow will be used in the future. Considering Redis's recent change to the licensing model, I would like to promote a shift to using 'Valkey' 8.x as a replacement for Redis to ensure that this project remains a bona fide open-source project. Valkey is the official Redis fork supported by The Linux Foundation, Amazon/AWS and Oracle.</t>
  </si>
  <si>
    <t>['2878||97877||1||8499||8498||updated||mcp||&gt;=1.6.0||&gt;=1.9.4||||03656da4dd8549904a102fb833b98cead88354b8||pyproject.toml']</t>
  </si>
  <si>
    <t>['mcp']</t>
  </si>
  <si>
    <t>['&gt;=1.6.0']</t>
  </si>
  <si>
    <t>['&gt;=1.9.4']</t>
  </si>
  <si>
    <t>https://github.com/infiniflow/ragflow/issues/8588</t>
  </si>
  <si>
    <t>Start ragflow server with mcp server encounter Error: No such option: --base_url Did you mean --base-url? By the way. I am using the main branch. And I've checked the code. the root cause is that 'docker/entrypoint.sh' and 'mcp/server/server.py' are mismatched.</t>
  </si>
  <si>
    <t>https://github.com/infiniflow/ragflow/issues/8986</t>
  </si>
  <si>
    <t>[Question]: mcp unrecognized arguments: base-url and api-key There are trivial breaking changes introduced by #8421. In short, we changed base_url to base-url and api_key to api-key, which creates inconsistencies between the latest codebase and the released version. These issues will be automatically resolved in the next release.</t>
  </si>
  <si>
    <t>['2872||97877||1||8506||8505||updated||akshare||^1.14.81||&gt;=1.15.78,&lt;2.0.0||||2962284c799aa33f7e8009979a14217dea0ba976||pyproject.toml']</t>
  </si>
  <si>
    <t>['akshare']</t>
  </si>
  <si>
    <t>['^1.14.81']</t>
  </si>
  <si>
    <t>['&gt;=1.15.78,&lt;2.0.0']</t>
  </si>
  <si>
    <t>https://github.com/infiniflow/ragflow/pull/4536</t>
  </si>
  <si>
    <t>[Bug]: Cant' run on Mac M1 arm64 I build local docker image, and the system can start up, but can't sign in and sign up. the log shows it's py_mini_racer‘s error ,it can't support arm64 The issue has been resolved. I uninstalled akshare 1.15.69 and reinstalled version 1.15.76. Thank you!</t>
  </si>
  <si>
    <t>['3612||149926||1||13078||13077||migration||sphinx-rtd-theme||^1.0.0||||furo||22848bd8640e478a23e5bd40e4f3902fa2111016||pyproject.toml']</t>
  </si>
  <si>
    <t>['sphinx-rtd-theme']</t>
  </si>
  <si>
    <t>['^1.0.0']</t>
  </si>
  <si>
    <t>['furo']</t>
  </si>
  <si>
    <t>https://github.com/inseq-team/inseq/pull/168</t>
  </si>
  <si>
    <t>Migrate docs to furo Use furo for a cleaner Sphinx theme</t>
  </si>
  <si>
    <t>['23||1649||1||98||97||removed||uvicorn||||||||17036587d84d2b42e0e9eb501d175e78d552c063||neural_solution/requirements.txt', '23||1649||1||98||97||removed||neural-compressor||&gt;=2.2||||||17036587d84d2b42e0e9eb501d175e78d552c063||neural_insights/requirements.txt']</t>
  </si>
  <si>
    <t>['uvicorn', 'neural-compressor']</t>
  </si>
  <si>
    <t>[nan, '&gt;=2.2']</t>
  </si>
  <si>
    <t>Remove deprecated modules</t>
  </si>
  <si>
    <t>['18||1649||1||106||105||migration||opencv-python||||||opencv-python-headless||f8a72445ccf6c8ce971a2b19b012ce94106c96d9||requirements.txt']</t>
  </si>
  <si>
    <t>['opencv-python']</t>
  </si>
  <si>
    <t>['opencv-python-headless']</t>
  </si>
  <si>
    <t>https://github.com/intel/neural-compressor/pull/1108</t>
  </si>
  <si>
    <t>replace opencv with opencv-python-headless to avoid issue 'ImportError: libGL.so.1' cased by opencv-python</t>
  </si>
  <si>
    <t>https://github.com/intel/neural-compressor/pull/1872</t>
  </si>
  <si>
    <t>Remove deprecated modules, neural_solution, neural_insights, neural_coder</t>
  </si>
  <si>
    <t>['3380||115210||1||11928||11927||added||cachetools||==5.5.2||||||54f09db4292c318b3658d99f8b1f9cace84fab5e||requirements.txt']</t>
  </si>
  <si>
    <t>['cachetools']</t>
  </si>
  <si>
    <t>freezing requirements for 3.1.0</t>
  </si>
  <si>
    <t>https://github.com/intel/openvino-ai-plugins-gimp/pull/183</t>
  </si>
  <si>
    <t>['3308||110330||1||11235||11233||removed||mkdocstrings-python||^1.10.0||||||706ca2bda7888f2dfe076f0652c5e311314f0f54||pyproject.toml']</t>
  </si>
  <si>
    <t>['mkdocstrings-python']</t>
  </si>
  <si>
    <t>['^1.10.0']</t>
  </si>
  <si>
    <t>https://github.com/lnccbrown/HSSM/pull/612</t>
  </si>
  <si>
    <t>Replace Poetry with uv for dependency management and workflows This pull request includes significant changes to the setup and testing workflows, as well as updates to the project's dependency management. The most important changes include the replacement of Poetry with uv for environment setup and dependency management, consolidation of test workflows, and updates to the pyproject.toml file to align with the new dependency management tool. Dependency Management: pyproject.toml: Transitioned from Poetry to uv for dependency management. Updated the file structure to conform to the new tool, including changes to dependencies and build system. [1] [2]</t>
  </si>
  <si>
    <t>Replace Poetry with uv for dependency management and workflows</t>
  </si>
  <si>
    <t>['93||6567||1||296||295||added||gunicorn||*||||||a081c22b46ea6c69621edf28792fb19868f79969||presidio-image-redactor/pyproject.toml']</t>
  </si>
  <si>
    <t>['gunicorn']</t>
  </si>
  <si>
    <t>https://github.com/microsoft/presidio/issues/1496</t>
  </si>
  <si>
    <t>Update Presidio Containers to use Gunicorn Replace Flask's built-in server with Gunicorn in Presidio's Docker containers for better performance, scalability, and production readiness. Operate more efficiently with improved resource utilization and performance, particularly under higher traffic loads Added ability to scale workers and handle concurrent requests Aligns with best practices for deploying Python web applications into production scenarios</t>
  </si>
  <si>
    <t>['95||6567||1||294||293||migration||pycryptodome||&gt;=3.10.1||||cryptography||515280566c00fa69bbfede900aa844bec0316f1a||presidio-anonymizer/pyproject.toml']</t>
  </si>
  <si>
    <t>['pycryptodome']</t>
  </si>
  <si>
    <t>['&gt;=3.10.1']</t>
  </si>
  <si>
    <t>['cryptography']</t>
  </si>
  <si>
    <t>https://github.com/microsoft/presidio/issues/1538</t>
  </si>
  <si>
    <t>Fix code scanning alert - Usage of unapproved crypto library</t>
  </si>
  <si>
    <t>https://github.com/microsoft/presidio/pull/1497</t>
  </si>
  <si>
    <t>Update presidio containers to use gunicorn pdated the command from Flaks to Gunicorn in the Dockerfiles</t>
  </si>
  <si>
    <t>https://github.com/microsoft/presidio/pull/1537</t>
  </si>
  <si>
    <t>Replace pycryptodome with cryptography, to resolve code scanning alert</t>
  </si>
  <si>
    <t>['680||21283||38||1921||1856||updated||huggingface-hub||==0.10.1||==0.23.5||||e7c55eeb20d58945c8f54708466a577b37b349dc||.devcontainer/requirements.txt']</t>
  </si>
  <si>
    <t>['huggingface-hub']</t>
  </si>
  <si>
    <t>Update devcontainer to use Python 3.9</t>
  </si>
  <si>
    <t>['680||21283||38||1921||1856||updated||responses||==0.22.0||==0.25.3||||a3d451affa4e995297d612d8ab30d8d9f03fbb83||.devcontainer/requirements.txt']</t>
  </si>
  <si>
    <t>['responses']</t>
  </si>
  <si>
    <t>https://github.com/mlflow/mlflow/pull/12474</t>
  </si>
  <si>
    <t>The Python dependencies installed in the devcontainer have been updated to allow a contributor to get started quickly without encountering issues.</t>
  </si>
  <si>
    <t>['680||21283||38||1921||1856||updated||huggingface-hub||==0.10.1||==0.23.5||||e7c55eeb20d58945c8f54708466a577b37b349dc||.devcontainer/requirements.txt', '680||21283||38||1921||1856||updated||werkzeug||==2.2.2||==3.0.6||||e7c55eeb20d58945c8f54708466a577b37b349dc||.devcontainer/requirements.txt', '680||21283||38||1921||1856||updated||scikit-learn||==1.1.3||==1.5.2||||e7c55eeb20d58945c8f54708466a577b37b349dc||.devcontainer/requirements.txt']</t>
  </si>
  <si>
    <t>['updated', 'updated', 'updated']</t>
  </si>
  <si>
    <t>['huggingface-hub', 'werkzeug', 'scikit-learn']</t>
  </si>
  <si>
    <t>[nan, nan, nan]</t>
  </si>
  <si>
    <t>https://github.com/mlflow/mlflow/pull/13602</t>
  </si>
  <si>
    <t>['4027||212418||1||14520||14519||migration||docopt||||||docopt-ng||78ca486970f5da15a0371f10b1bb6ab76c8eabbf||requirements.txt']</t>
  </si>
  <si>
    <t>['docopt']</t>
  </si>
  <si>
    <t>['docopt-ng']</t>
  </si>
  <si>
    <t>Update requirements: docopt -&gt; docopt-ng
Original docopt does not use pyproject.toml for installation but docopt-ng does</t>
  </si>
  <si>
    <t>['4025||212418||1||14522||14521||migration||tensorflow||||||torch||b12e8fb32e18f2ca6068e952186a6ed081ca5ae7||requirements.txt']</t>
  </si>
  <si>
    <t>['tensorflow']</t>
  </si>
  <si>
    <t>https://github.com/niklases/PyPEF/pull/11</t>
  </si>
  <si>
    <t>Switched from Tensorflow to PyTorch for DCA (and LLM) related tasks</t>
  </si>
  <si>
    <t>['743||23507||1||2141||2140||updated||mistralai||^1.0.3||^1.2.1||||9d20d03cbf7e944a2bbd5e16b2f8853d88cc2db8||pyproject.toml']</t>
  </si>
  <si>
    <t>['^1.0.3']</t>
  </si>
  <si>
    <t>['^1.2.1']</t>
  </si>
  <si>
    <t>Fix for backwards-incompatible Mistral API change</t>
  </si>
  <si>
    <t>https://github.com/pixeltable/pixeltable/pull/368</t>
  </si>
  <si>
    <t>The latest version of the Mistral SDK contains backward-incompatible API
changes. This updates Pixeltable for compatibility</t>
  </si>
  <si>
    <t>['766||23507||1||2115||2114||updated||openai||&gt;=1.63.0||&gt;=1.86.0||||a1e464de3d323610d8f992d03ba705e957f123ec||pyproject.toml']</t>
  </si>
  <si>
    <t>['openai']</t>
  </si>
  <si>
    <t>['&gt;=1.63.0']</t>
  </si>
  <si>
    <t>['&gt;=1.86.0']</t>
  </si>
  <si>
    <t>https://github.com/pixeltable/pixeltable/pull/666</t>
  </si>
  <si>
    <t>Update dev versions of many libraries used by Pixeltable Updates many of the dependencies used in our dev environment including torch, transformers, spacy, and many of our inference provider SDKs. This is a necessary step towards being able to fully test in Python 3.13 as well as ensuring we are correctly supporting the latest versions of our integrations.</t>
  </si>
  <si>
    <t>['4004||211152||1||14479||14478||updated||sse-starlette||==2.0.0||==1.6.1||||100fa10cf2d06d83c97bd36f320a4ac167d380b0||model-engine/requirements.txt']</t>
  </si>
  <si>
    <t>['sse-starlette']</t>
  </si>
  <si>
    <t>['2.0.0']</t>
  </si>
  <si>
    <t>['1.6.1']</t>
  </si>
  <si>
    <t>https://github.com/scaleapi/llm-engine/pull/478</t>
  </si>
  <si>
    <t>Downgrade sse-starlette version The updated version has weird behavior with streaming in the http-forwarder (tokens getting streamed back were batched so time to first token was very long; we expect to get tokens back at a steady rate instead) I tried sse-starlette version 1.8.2 to see if it was the major version bump (1.8.2 -&gt; 2.0.0) that broke things, but 1.8.2 still had the weird behavior, so downgrading to the original version of 1.6.1 from before the security scan updates</t>
  </si>
  <si>
    <t>['30||2403||1||156||155||removed||pytrec-eval||==0.5||||||05ce7e8e6e8cc072bf1047d374490e0fbc7e1915||requirements.txt']</t>
  </si>
  <si>
    <t>['pytrec-eval']</t>
  </si>
  <si>
    <t>[0.5]</t>
  </si>
  <si>
    <t>https://github.com/stanford-crfm/helm/pull/1681</t>
  </si>
  <si>
    <t>Groups dependencies by "extras" group; these will later be used for split out optional dependencies. Removes requirements.txt, which is no longer used; this means we don't have to keep two copies of the same dependency list.</t>
  </si>
  <si>
    <t>['442||17600||1||1520||1519||updated||google-crc32c||==1.5.0||==1.6.0||||2b61ddfb80ac64b1188609ffb1da9099a72db9f7||requirements.txt', '442||17600||1||1520||1519||updated||safetensors||==0.4.3||==0.4.5||||2b61ddfb80ac64b1188609ffb1da9099a72db9f7||requirements.txt', '442||17600||1||1520||1519||updated||rpds-py||==0.19.0||==0.20.0||||2b61ddfb80ac64b1188609ffb1da9099a72db9f7||requirements.txt', '442||17600||1||1520||1519||updated||cachetools||==5.3.3||==5.5.0||||2b61ddfb80ac64b1188609ffb1da9099a72db9f7||requirements.txt']</t>
  </si>
  <si>
    <t>['updated', 'updated', 'updated', 'updated']</t>
  </si>
  <si>
    <t>['google-crc32c', 'safetensors', 'rpds-py', 'cachetools']</t>
  </si>
  <si>
    <t>[nan, nan, nan, nan]</t>
  </si>
  <si>
    <t>freeze requirements.txt under Python 3.12.5</t>
  </si>
  <si>
    <t>['439||17600||1||1524||1522||updated||blis||==0.7.10||==0.7.11||||797b2044106ad85544e0b7b637afe5ab38385eeb||requirements.txt']</t>
  </si>
  <si>
    <t>['blis']</t>
  </si>
  <si>
    <t>fresh requirements.txt with Python 3.12 comptabile pinned versions</t>
  </si>
  <si>
    <t>['445||17600||1||1517||1516||migration||pinecone-client||==5.0.1||||pinecone||c7030a609b5e87cf7988e1eec873e4ab187221aa||requirements.txt']</t>
  </si>
  <si>
    <t>['pinecone-client']</t>
  </si>
  <si>
    <t>['pinecone']</t>
  </si>
  <si>
    <t>update pinecone package after sudden deprecation, on develop</t>
  </si>
  <si>
    <t>https://github.com/swirlai/swirl-search/pull/1532</t>
  </si>
  <si>
    <t>Update to the new pinecone package after sudden deprecation of pinecone-client version</t>
  </si>
  <si>
    <t>['3811||180769||1||13526||13525||migration||sklearn||||||scikit-learn||a229c87129374c73a252221d77d44f3b24b08f71||benchmarking/nursery/benchmark_automl/requirements.txt']</t>
  </si>
  <si>
    <t>['sklearn']</t>
  </si>
  <si>
    <t>['scikit-learn']</t>
  </si>
  <si>
    <t>Change deprecated sklearn -&gt; scikit-learn</t>
  </si>
  <si>
    <t>['3811||180769||1||13526||13525||migration||sklearn||||||scikit-learn||a229c87129374c73a252221d77d44f3b24b08f71||benchmarking/nursery/benchmark_automl/requirements.txt', '3811||180769||1||13526||13525||migration||sklearn||||||scikit-learn||a229c87129374c73a252221d77d44f3b24b08f71||syne_tune/blackbox_repository/requirements.txt']</t>
  </si>
  <si>
    <t>['migration', 'migration']</t>
  </si>
  <si>
    <t>['sklearn', 'sklearn']</t>
  </si>
  <si>
    <t>['scikit-learn', 'scikit-learn']</t>
  </si>
  <si>
    <t>https://github.com/syne-tune/syne-tune/issues/444</t>
  </si>
  <si>
    <t>Fix dependencies due to "sklearn" deprecation sklearn (on PyPI) is deprecated -&gt; scikit-learn, see https://pypi.org/project/sklearn/ Our direct dependencies are fixed in #443, but there are indirect dependencies. We currently (in #443) use a work-around, but should find out which dependencies are problematic, and bump them up.</t>
  </si>
  <si>
    <t>['3811||180769||1||13526||13525||migration||sklearn||||||scikit-learn||a229c87129374c73a252221d77d44f3b24b08f71||syne_tune/blackbox_repository/requirements.txt']</t>
  </si>
  <si>
    <t>https://github.com/syne-tune/syne-tune/pull/442</t>
  </si>
  <si>
    <t>the remaining sklearn -&gt; scikitl=-learn fixed it.</t>
  </si>
  <si>
    <t>https://github.com/syne-tune/syne-tune/pull/443</t>
  </si>
  <si>
    <t>["118||7704||1||639||632||updated||onnxruntime||~=1.17;platform_machine == 'aarch64'||~=1.20;platform_machine == 'aarch64' and python_version &gt;= '3.10'||||c62e6e7892cebae7f091030b6708deac2b7c8b80||pyproject.toml"]</t>
  </si>
  <si>
    <t>['onnxruntime']</t>
  </si>
  <si>
    <t>["~=1.17;platform_machine == 'aarch64'"]</t>
  </si>
  <si>
    <t>["~=1.20;platform_machine == 'aarch64' and python_version &gt;= '3.10'"]</t>
  </si>
  <si>
    <t>New Onnx Runtime for new pythons only</t>
  </si>
  <si>
    <t>md</t>
  </si>
  <si>
    <t>https://github.com/triton-inference-server/model_navigator/commit/c62e6e7892cebae7f091030b6708deac2b7c8b80#diff-06572a96a58dc510037d5efa622f9bec8519bc1beab13c9f251e97e657a9d4ed</t>
  </si>
  <si>
    <t>new: New version of Onnx Runtime 1.20 for python version &gt;= 3.10</t>
  </si>
  <si>
    <t>['3343||113256||3||11561||11555||added||pre-commit||||||||b00f77d8559b48d57a33c0132a5ba1c81891a536||requirements.txt']</t>
  </si>
  <si>
    <t>['pre-commit']</t>
  </si>
  <si>
    <t>https://github.com/verl-project/verl/pull/1010</t>
  </si>
  <si>
    <t>According to dicussion in #896, this PR immigrates from yapf &amp; pylint to ruff based on pre-commit, which allows unified version control and automatic hook on committing. The pre-commit hook and CI checks staged / committed files in commits / PR's
checks all files each month (This should fail before we fix all the files by the ruff standard) Explanation for the Failing CI Workflow pre-commit
For now, we only apply ruff format and ruff check --fix without resolving all the errors, since there are too many errors to resolve, which causes the CI workflow pre-commit fails.
For resolving the remaining errors, we leave to future commits. Specifically, the pre-commit hook and CI will require every commit to fix its related files with ruff, which will fix all the files incrementally.</t>
  </si>
  <si>
    <t>['1929||67180||1||6132||6131||migration||aioprometheus||||||prometheus-client||ef978fe4111b0eb91c81eceba4d9791b94c7ffbf||requirements.txt']</t>
  </si>
  <si>
    <t>['aioprometheus']</t>
  </si>
  <si>
    <t>['prometheus-client']</t>
  </si>
  <si>
    <t>https://github.com/vllm-project/vllm/pull/2730</t>
  </si>
  <si>
    <t>Port metrics from aioprometheus to prometheus_client As mentioned in #2316 (comment), prometheus_client: Is the official Prometheus Python client s more actively maintained than aioprometheus Has &gt;23x more stars than aioprometheus This PR ports the metrics from aioprometheus to prometheus_client.</t>
  </si>
  <si>
    <t>['3734||162404||1||13313||13312||updated||openai||==1.76.0||==1.87.0||||cdef4213cfb02a5c186dee853748c88d3227788d||pyproject.toml']</t>
  </si>
  <si>
    <t>['1.76.0']</t>
  </si>
  <si>
    <t>['1.87.0"']</t>
  </si>
  <si>
    <t>Upgrades openai, vllm, torch, transformers, and triton to their latest versions. This ensures compatibility, incorporates recent bug fixes, and leverages performance improvements across the project.</t>
  </si>
  <si>
    <t>Rationale/Trigger?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</si>
</sst>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5">
    <xf numFmtId="0" fontId="0" fillId="0" borderId="0" xfId="0"/>
    <xf numFmtId="0" fontId="1" fillId="0" borderId="1" xfId="0" applyFont="1" applyBorder="1" applyAlignment="1">
      <alignment horizontal="center" vertical="top"/>
    </xf>
    <xf numFmtId="0" fontId="2" fillId="0" borderId="0" xfId="1"/>
    <xf numFmtId="0" fontId="0" fillId="0" borderId="0" xfId="0">
      <extLst>
        <ext xmlns:xfpb="http://schemas.microsoft.com/office/spreadsheetml/2022/featurepropertybag" uri="{C7286773-470A-42A8-94C5-96B5CB345126}">
          <xfpb:xfComplement i="0"/>
        </ext>
      </extLst>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PrunaAI/pruna/pull/227" TargetMode="External"/><Relationship Id="rId1" Type="http://schemas.openxmlformats.org/officeDocument/2006/relationships/hyperlink" Target="https://github.com/PrunaAI/pruna/pull/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21"/>
  <sheetViews>
    <sheetView tabSelected="1" zoomScale="110" zoomScaleNormal="110" workbookViewId="0">
      <pane ySplit="1" topLeftCell="A2" activePane="bottomLeft" state="frozen"/>
      <selection pane="bottomLeft" activeCell="Y7" sqref="Y7"/>
    </sheetView>
  </sheetViews>
  <sheetFormatPr baseColWidth="10" defaultColWidth="8.83203125" defaultRowHeight="15" x14ac:dyDescent="0.2"/>
  <cols>
    <col min="7" max="7" width="3.1640625" customWidth="1"/>
    <col min="19" max="19" width="10.33203125" customWidth="1"/>
    <col min="20" max="20" width="4.6640625" customWidth="1"/>
    <col min="21" max="21" width="5.5" customWidth="1"/>
    <col min="22" max="22" width="4.6640625" customWidth="1"/>
    <col min="23" max="23" width="6.33203125" customWidth="1"/>
    <col min="24" max="24" width="5.5" customWidth="1"/>
  </cols>
  <sheetData>
    <row r="1" spans="1:2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2178</v>
      </c>
      <c r="T1" s="1" t="s">
        <v>18</v>
      </c>
      <c r="U1" s="1" t="s">
        <v>19</v>
      </c>
      <c r="V1" s="1" t="s">
        <v>20</v>
      </c>
      <c r="W1" s="1" t="s">
        <v>21</v>
      </c>
      <c r="X1" s="1" t="s">
        <v>22</v>
      </c>
    </row>
    <row r="2" spans="1:24" x14ac:dyDescent="0.2">
      <c r="A2" t="s">
        <v>23</v>
      </c>
      <c r="B2" t="s">
        <v>24</v>
      </c>
      <c r="C2" t="s">
        <v>25</v>
      </c>
      <c r="G2" t="s">
        <v>26</v>
      </c>
      <c r="H2" t="s">
        <v>27</v>
      </c>
      <c r="I2" t="s">
        <v>28</v>
      </c>
      <c r="J2" t="s">
        <v>29</v>
      </c>
      <c r="K2" s="3" t="b">
        <v>1</v>
      </c>
      <c r="L2" s="3" t="b">
        <v>0</v>
      </c>
      <c r="M2" s="3" t="b">
        <v>0</v>
      </c>
      <c r="N2" s="3" t="b">
        <v>0</v>
      </c>
      <c r="O2" s="3" t="b">
        <v>0</v>
      </c>
      <c r="P2" s="3" t="b">
        <v>0</v>
      </c>
      <c r="Q2" s="3" t="b">
        <v>0</v>
      </c>
      <c r="R2" s="3" t="b">
        <v>0</v>
      </c>
      <c r="S2" s="3" t="b">
        <v>0</v>
      </c>
      <c r="T2">
        <v>3494</v>
      </c>
      <c r="U2">
        <v>132157</v>
      </c>
      <c r="V2">
        <v>1</v>
      </c>
      <c r="W2">
        <v>12442</v>
      </c>
      <c r="X2">
        <v>12441</v>
      </c>
    </row>
    <row r="3" spans="1:24" x14ac:dyDescent="0.2">
      <c r="A3" t="s">
        <v>30</v>
      </c>
      <c r="B3" t="s">
        <v>31</v>
      </c>
      <c r="C3" t="s">
        <v>32</v>
      </c>
      <c r="G3" t="s">
        <v>33</v>
      </c>
      <c r="H3" t="s">
        <v>34</v>
      </c>
      <c r="I3" t="s">
        <v>35</v>
      </c>
      <c r="J3" t="s">
        <v>29</v>
      </c>
      <c r="K3" s="3" t="b">
        <v>1</v>
      </c>
      <c r="L3" s="3" t="b">
        <v>1</v>
      </c>
      <c r="M3" s="3" t="b">
        <v>0</v>
      </c>
      <c r="N3" s="3" t="b">
        <v>1</v>
      </c>
      <c r="O3" s="3" t="b">
        <v>0</v>
      </c>
      <c r="P3" s="3" t="b">
        <v>0</v>
      </c>
      <c r="Q3" s="3" t="b">
        <v>0</v>
      </c>
      <c r="R3" s="3" t="b">
        <v>0</v>
      </c>
      <c r="S3" s="3" t="b">
        <v>0</v>
      </c>
      <c r="T3">
        <v>3745</v>
      </c>
      <c r="U3">
        <v>163227</v>
      </c>
      <c r="V3">
        <v>1</v>
      </c>
      <c r="W3">
        <v>13361</v>
      </c>
      <c r="X3">
        <v>13360</v>
      </c>
    </row>
    <row r="4" spans="1:24" x14ac:dyDescent="0.2">
      <c r="A4" t="s">
        <v>36</v>
      </c>
      <c r="B4" t="s">
        <v>24</v>
      </c>
      <c r="C4" t="s">
        <v>37</v>
      </c>
      <c r="D4" t="s">
        <v>38</v>
      </c>
      <c r="F4" t="s">
        <v>39</v>
      </c>
      <c r="G4" t="s">
        <v>40</v>
      </c>
      <c r="H4" t="s">
        <v>41</v>
      </c>
      <c r="I4" t="s">
        <v>42</v>
      </c>
      <c r="J4" t="s">
        <v>43</v>
      </c>
      <c r="K4" s="3" t="b">
        <v>1</v>
      </c>
      <c r="L4" s="3" t="b">
        <v>0</v>
      </c>
      <c r="M4" s="3" t="b">
        <v>0</v>
      </c>
      <c r="N4" s="3" t="b">
        <v>0</v>
      </c>
      <c r="O4" s="3" t="b">
        <v>0</v>
      </c>
      <c r="P4" s="3" t="b">
        <v>0</v>
      </c>
      <c r="Q4" s="3" t="b">
        <v>0</v>
      </c>
      <c r="R4" s="3" t="b">
        <v>0</v>
      </c>
      <c r="S4" s="3" t="b">
        <v>0</v>
      </c>
      <c r="T4">
        <v>782</v>
      </c>
      <c r="U4">
        <v>25052</v>
      </c>
      <c r="V4">
        <v>2</v>
      </c>
      <c r="W4">
        <v>2293</v>
      </c>
      <c r="X4">
        <v>2291</v>
      </c>
    </row>
    <row r="5" spans="1:24" x14ac:dyDescent="0.2">
      <c r="A5" t="s">
        <v>44</v>
      </c>
      <c r="B5" t="s">
        <v>31</v>
      </c>
      <c r="C5" t="s">
        <v>45</v>
      </c>
      <c r="G5" t="s">
        <v>46</v>
      </c>
      <c r="H5" t="s">
        <v>47</v>
      </c>
      <c r="I5" t="s">
        <v>48</v>
      </c>
      <c r="J5" t="s">
        <v>49</v>
      </c>
      <c r="K5" s="3" t="b">
        <v>1</v>
      </c>
      <c r="L5" s="3" t="b">
        <v>0</v>
      </c>
      <c r="M5" s="3" t="b">
        <v>0</v>
      </c>
      <c r="N5" s="3" t="b">
        <v>0</v>
      </c>
      <c r="O5" s="3" t="b">
        <v>0</v>
      </c>
      <c r="P5" s="3" t="b">
        <v>0</v>
      </c>
      <c r="Q5" s="3" t="b">
        <v>0</v>
      </c>
      <c r="R5" s="3" t="b">
        <v>0</v>
      </c>
      <c r="S5" s="3" t="b">
        <v>0</v>
      </c>
      <c r="T5">
        <v>3559</v>
      </c>
      <c r="U5">
        <v>140184</v>
      </c>
      <c r="V5">
        <v>1</v>
      </c>
      <c r="W5">
        <v>12708</v>
      </c>
      <c r="X5">
        <v>12707</v>
      </c>
    </row>
    <row r="6" spans="1:24" x14ac:dyDescent="0.2">
      <c r="A6" t="s">
        <v>50</v>
      </c>
      <c r="B6" t="s">
        <v>51</v>
      </c>
      <c r="C6" t="s">
        <v>52</v>
      </c>
      <c r="E6" t="s">
        <v>53</v>
      </c>
      <c r="G6" t="s">
        <v>54</v>
      </c>
      <c r="H6" t="s">
        <v>55</v>
      </c>
      <c r="I6" t="s">
        <v>56</v>
      </c>
      <c r="J6" t="s">
        <v>29</v>
      </c>
      <c r="K6" s="3" t="b">
        <v>1</v>
      </c>
      <c r="L6" s="3" t="b">
        <v>1</v>
      </c>
      <c r="M6" s="3" t="b">
        <v>0</v>
      </c>
      <c r="N6" s="3" t="b">
        <v>0</v>
      </c>
      <c r="O6" s="3" t="b">
        <v>1</v>
      </c>
      <c r="P6" s="3" t="b">
        <v>0</v>
      </c>
      <c r="Q6" s="3" t="b">
        <v>0</v>
      </c>
      <c r="R6" s="3" t="b">
        <v>0</v>
      </c>
      <c r="S6" s="3" t="b">
        <v>1</v>
      </c>
      <c r="T6">
        <v>18</v>
      </c>
      <c r="U6">
        <v>1649</v>
      </c>
      <c r="V6">
        <v>1</v>
      </c>
      <c r="W6">
        <v>106</v>
      </c>
      <c r="X6">
        <v>105</v>
      </c>
    </row>
    <row r="7" spans="1:24" x14ac:dyDescent="0.2">
      <c r="A7" t="s">
        <v>57</v>
      </c>
      <c r="B7" t="s">
        <v>58</v>
      </c>
      <c r="C7" t="s">
        <v>59</v>
      </c>
      <c r="G7" t="s">
        <v>60</v>
      </c>
      <c r="H7" t="s">
        <v>61</v>
      </c>
      <c r="I7" t="s">
        <v>62</v>
      </c>
      <c r="J7" t="s">
        <v>63</v>
      </c>
      <c r="K7" s="3" t="b">
        <v>1</v>
      </c>
      <c r="L7" s="3" t="b">
        <v>1</v>
      </c>
      <c r="M7" s="3" t="b">
        <v>0</v>
      </c>
      <c r="N7" s="3" t="b">
        <v>1</v>
      </c>
      <c r="O7" s="3" t="b">
        <v>1</v>
      </c>
      <c r="P7" s="3" t="b">
        <v>0</v>
      </c>
      <c r="Q7" s="3" t="b">
        <v>0</v>
      </c>
      <c r="R7" s="3" t="b">
        <v>0</v>
      </c>
      <c r="S7" s="3" t="b">
        <v>0</v>
      </c>
      <c r="T7">
        <v>2961</v>
      </c>
      <c r="U7">
        <v>100900</v>
      </c>
      <c r="V7">
        <v>2</v>
      </c>
      <c r="W7">
        <v>8835</v>
      </c>
      <c r="X7">
        <v>8834</v>
      </c>
    </row>
    <row r="8" spans="1:24" x14ac:dyDescent="0.2">
      <c r="A8" t="s">
        <v>64</v>
      </c>
      <c r="B8" t="s">
        <v>58</v>
      </c>
      <c r="C8" t="s">
        <v>65</v>
      </c>
      <c r="D8" t="s">
        <v>66</v>
      </c>
      <c r="G8" t="s">
        <v>67</v>
      </c>
      <c r="H8" t="s">
        <v>68</v>
      </c>
      <c r="I8" t="s">
        <v>42</v>
      </c>
      <c r="J8" t="s">
        <v>69</v>
      </c>
      <c r="K8" s="3" t="b">
        <v>1</v>
      </c>
      <c r="L8" s="3" t="b">
        <v>1</v>
      </c>
      <c r="M8" s="3" t="b">
        <v>0</v>
      </c>
      <c r="N8" s="3" t="b">
        <v>1</v>
      </c>
      <c r="O8" s="3" t="b">
        <v>0</v>
      </c>
      <c r="P8" s="3" t="b">
        <v>0</v>
      </c>
      <c r="Q8" s="3" t="b">
        <v>0</v>
      </c>
      <c r="R8" s="3" t="b">
        <v>0</v>
      </c>
      <c r="S8" s="3" t="b">
        <v>1</v>
      </c>
      <c r="T8">
        <v>782</v>
      </c>
      <c r="U8">
        <v>25052</v>
      </c>
      <c r="V8">
        <v>2</v>
      </c>
      <c r="W8">
        <v>2293</v>
      </c>
      <c r="X8">
        <v>2291</v>
      </c>
    </row>
    <row r="9" spans="1:24" x14ac:dyDescent="0.2">
      <c r="A9" t="s">
        <v>70</v>
      </c>
      <c r="B9" t="s">
        <v>58</v>
      </c>
      <c r="C9" t="s">
        <v>71</v>
      </c>
      <c r="G9" t="s">
        <v>72</v>
      </c>
      <c r="H9" t="s">
        <v>73</v>
      </c>
      <c r="I9" t="s">
        <v>74</v>
      </c>
      <c r="J9" t="s">
        <v>29</v>
      </c>
      <c r="K9" s="3" t="b">
        <v>1</v>
      </c>
      <c r="L9" s="3" t="b">
        <v>0</v>
      </c>
      <c r="M9" s="3" t="b">
        <v>0</v>
      </c>
      <c r="N9" s="3" t="b">
        <v>0</v>
      </c>
      <c r="O9" s="3" t="b">
        <v>0</v>
      </c>
      <c r="P9" s="3" t="b">
        <v>0</v>
      </c>
      <c r="Q9" s="3" t="b">
        <v>0</v>
      </c>
      <c r="R9" s="3" t="b">
        <v>0</v>
      </c>
      <c r="S9" s="3" t="b">
        <v>0</v>
      </c>
      <c r="T9">
        <v>870</v>
      </c>
      <c r="U9">
        <v>29747</v>
      </c>
      <c r="V9">
        <v>1</v>
      </c>
      <c r="W9">
        <v>2551</v>
      </c>
      <c r="X9">
        <v>2550</v>
      </c>
    </row>
    <row r="10" spans="1:24" x14ac:dyDescent="0.2">
      <c r="A10" t="s">
        <v>75</v>
      </c>
      <c r="B10" t="s">
        <v>58</v>
      </c>
      <c r="C10" t="s">
        <v>76</v>
      </c>
      <c r="G10" t="s">
        <v>77</v>
      </c>
      <c r="H10" t="s">
        <v>78</v>
      </c>
      <c r="I10" t="s">
        <v>79</v>
      </c>
      <c r="J10" t="s">
        <v>29</v>
      </c>
      <c r="K10" s="3" t="b">
        <v>1</v>
      </c>
      <c r="L10" s="3" t="b">
        <v>1</v>
      </c>
      <c r="M10" s="3" t="b">
        <v>0</v>
      </c>
      <c r="N10" s="3" t="b">
        <v>1</v>
      </c>
      <c r="O10" s="3" t="b">
        <v>0</v>
      </c>
      <c r="P10" s="3" t="b">
        <v>0</v>
      </c>
      <c r="Q10" s="3" t="b">
        <v>0</v>
      </c>
      <c r="R10" s="3" t="b">
        <v>0</v>
      </c>
      <c r="S10" s="3" t="b">
        <v>0</v>
      </c>
      <c r="T10">
        <v>2932</v>
      </c>
      <c r="U10">
        <v>99225</v>
      </c>
      <c r="V10">
        <v>1</v>
      </c>
      <c r="W10">
        <v>8625</v>
      </c>
      <c r="X10">
        <v>8624</v>
      </c>
    </row>
    <row r="11" spans="1:24" x14ac:dyDescent="0.2">
      <c r="A11" t="s">
        <v>80</v>
      </c>
      <c r="B11" t="s">
        <v>58</v>
      </c>
      <c r="C11" t="s">
        <v>81</v>
      </c>
      <c r="G11" t="s">
        <v>82</v>
      </c>
      <c r="H11" t="s">
        <v>83</v>
      </c>
      <c r="I11" t="s">
        <v>84</v>
      </c>
      <c r="J11" t="s">
        <v>85</v>
      </c>
      <c r="K11" s="3" t="b">
        <v>1</v>
      </c>
      <c r="L11" s="3" t="b">
        <v>0</v>
      </c>
      <c r="M11" s="3" t="b">
        <v>0</v>
      </c>
      <c r="N11" s="3" t="b">
        <v>0</v>
      </c>
      <c r="O11" s="3" t="b">
        <v>0</v>
      </c>
      <c r="P11" s="3" t="b">
        <v>0</v>
      </c>
      <c r="Q11" s="3" t="b">
        <v>0</v>
      </c>
      <c r="R11" s="3" t="b">
        <v>0</v>
      </c>
      <c r="S11" s="3" t="b">
        <v>0</v>
      </c>
      <c r="T11">
        <v>2994</v>
      </c>
      <c r="U11">
        <v>100900</v>
      </c>
      <c r="V11">
        <v>2</v>
      </c>
      <c r="W11">
        <v>8798</v>
      </c>
      <c r="X11">
        <v>8779</v>
      </c>
    </row>
    <row r="12" spans="1:24" x14ac:dyDescent="0.2">
      <c r="A12" t="s">
        <v>86</v>
      </c>
      <c r="B12" t="s">
        <v>58</v>
      </c>
      <c r="C12" t="s">
        <v>87</v>
      </c>
      <c r="G12" t="s">
        <v>88</v>
      </c>
      <c r="H12" t="s">
        <v>89</v>
      </c>
      <c r="I12" t="s">
        <v>90</v>
      </c>
      <c r="J12" t="s">
        <v>91</v>
      </c>
      <c r="K12" s="3" t="b">
        <v>1</v>
      </c>
      <c r="L12" s="3" t="b">
        <v>1</v>
      </c>
      <c r="M12" s="3" t="b">
        <v>0</v>
      </c>
      <c r="N12" s="3" t="b">
        <v>1</v>
      </c>
      <c r="O12" s="3" t="b">
        <v>0</v>
      </c>
      <c r="P12" s="3" t="b">
        <v>0</v>
      </c>
      <c r="Q12" s="3" t="b">
        <v>0</v>
      </c>
      <c r="R12" s="3" t="b">
        <v>0</v>
      </c>
      <c r="S12" s="3" t="b">
        <v>0</v>
      </c>
      <c r="T12">
        <v>2375</v>
      </c>
      <c r="U12">
        <v>86500</v>
      </c>
      <c r="V12">
        <v>1</v>
      </c>
      <c r="W12">
        <v>7413</v>
      </c>
      <c r="X12">
        <v>7412</v>
      </c>
    </row>
    <row r="13" spans="1:24" x14ac:dyDescent="0.2">
      <c r="A13" t="s">
        <v>92</v>
      </c>
      <c r="B13" t="s">
        <v>58</v>
      </c>
      <c r="C13" t="s">
        <v>93</v>
      </c>
      <c r="G13" t="s">
        <v>94</v>
      </c>
      <c r="H13" t="s">
        <v>95</v>
      </c>
      <c r="I13" t="s">
        <v>96</v>
      </c>
      <c r="J13" t="s">
        <v>29</v>
      </c>
      <c r="K13" s="3" t="b">
        <v>1</v>
      </c>
      <c r="L13" s="3" t="b">
        <v>0</v>
      </c>
      <c r="M13" s="3" t="b">
        <v>0</v>
      </c>
      <c r="N13" s="3" t="b">
        <v>0</v>
      </c>
      <c r="O13" s="3" t="b">
        <v>0</v>
      </c>
      <c r="P13" s="3" t="b">
        <v>0</v>
      </c>
      <c r="Q13" s="3" t="b">
        <v>0</v>
      </c>
      <c r="R13" s="3" t="b">
        <v>0</v>
      </c>
      <c r="S13" s="3" t="b">
        <v>1</v>
      </c>
      <c r="T13">
        <v>2928</v>
      </c>
      <c r="U13">
        <v>98747</v>
      </c>
      <c r="V13">
        <v>1</v>
      </c>
      <c r="W13">
        <v>8579</v>
      </c>
      <c r="X13">
        <v>8578</v>
      </c>
    </row>
    <row r="14" spans="1:24" x14ac:dyDescent="0.2">
      <c r="A14" t="s">
        <v>97</v>
      </c>
      <c r="B14" t="s">
        <v>31</v>
      </c>
      <c r="C14" t="s">
        <v>98</v>
      </c>
      <c r="D14" t="s">
        <v>99</v>
      </c>
      <c r="G14" t="s">
        <v>100</v>
      </c>
      <c r="H14" t="s">
        <v>101</v>
      </c>
      <c r="I14" t="s">
        <v>102</v>
      </c>
      <c r="J14" t="s">
        <v>91</v>
      </c>
      <c r="K14" s="3" t="b">
        <v>1</v>
      </c>
      <c r="L14" s="3" t="b">
        <v>1</v>
      </c>
      <c r="M14" s="3" t="b">
        <v>0</v>
      </c>
      <c r="N14" s="3" t="b">
        <v>1</v>
      </c>
      <c r="O14" s="3" t="b">
        <v>0</v>
      </c>
      <c r="P14" s="3" t="b">
        <v>0</v>
      </c>
      <c r="Q14" s="3" t="b">
        <v>0</v>
      </c>
      <c r="R14" s="3" t="b">
        <v>0</v>
      </c>
      <c r="S14" s="3" t="b">
        <v>0</v>
      </c>
      <c r="T14">
        <v>2265</v>
      </c>
      <c r="U14">
        <v>77688</v>
      </c>
      <c r="V14">
        <v>2</v>
      </c>
      <c r="W14">
        <v>7043</v>
      </c>
      <c r="X14">
        <v>7042</v>
      </c>
    </row>
    <row r="15" spans="1:24" x14ac:dyDescent="0.2">
      <c r="A15" t="s">
        <v>103</v>
      </c>
      <c r="B15" t="s">
        <v>58</v>
      </c>
      <c r="C15" t="s">
        <v>104</v>
      </c>
      <c r="G15" t="s">
        <v>105</v>
      </c>
      <c r="H15" t="s">
        <v>106</v>
      </c>
      <c r="I15" t="s">
        <v>107</v>
      </c>
      <c r="J15" t="s">
        <v>29</v>
      </c>
      <c r="K15" s="3" t="b">
        <v>1</v>
      </c>
      <c r="L15" s="3" t="b">
        <v>0</v>
      </c>
      <c r="M15" s="3" t="b">
        <v>0</v>
      </c>
      <c r="N15" s="3" t="b">
        <v>0</v>
      </c>
      <c r="O15" s="3" t="b">
        <v>0</v>
      </c>
      <c r="P15" s="3" t="b">
        <v>0</v>
      </c>
      <c r="Q15" s="3" t="b">
        <v>0</v>
      </c>
      <c r="R15" s="3" t="b">
        <v>0</v>
      </c>
      <c r="S15" s="3" t="b">
        <v>0</v>
      </c>
      <c r="T15">
        <v>3051</v>
      </c>
      <c r="U15">
        <v>101062</v>
      </c>
      <c r="V15">
        <v>1</v>
      </c>
      <c r="W15">
        <v>8919</v>
      </c>
      <c r="X15">
        <v>8914</v>
      </c>
    </row>
    <row r="16" spans="1:24" x14ac:dyDescent="0.2">
      <c r="A16" t="s">
        <v>108</v>
      </c>
      <c r="B16" t="s">
        <v>31</v>
      </c>
      <c r="C16" t="s">
        <v>109</v>
      </c>
      <c r="D16" t="s">
        <v>110</v>
      </c>
      <c r="G16" t="s">
        <v>111</v>
      </c>
      <c r="H16" t="s">
        <v>112</v>
      </c>
      <c r="I16" t="s">
        <v>113</v>
      </c>
      <c r="J16" t="s">
        <v>91</v>
      </c>
      <c r="K16" s="3" t="b">
        <v>1</v>
      </c>
      <c r="L16" s="3" t="b">
        <v>1</v>
      </c>
      <c r="M16" s="3" t="b">
        <v>0</v>
      </c>
      <c r="N16" s="3" t="b">
        <v>1</v>
      </c>
      <c r="O16" s="3" t="b">
        <v>1</v>
      </c>
      <c r="P16" s="3" t="b">
        <v>0</v>
      </c>
      <c r="Q16" s="3" t="b">
        <v>0</v>
      </c>
      <c r="R16" s="3" t="b">
        <v>0</v>
      </c>
      <c r="S16" s="3" t="b">
        <v>0</v>
      </c>
      <c r="T16">
        <v>3612</v>
      </c>
      <c r="U16">
        <v>149926</v>
      </c>
      <c r="V16">
        <v>1</v>
      </c>
      <c r="W16">
        <v>13078</v>
      </c>
      <c r="X16">
        <v>13077</v>
      </c>
    </row>
    <row r="17" spans="1:24" x14ac:dyDescent="0.2">
      <c r="A17" t="s">
        <v>114</v>
      </c>
      <c r="B17" t="s">
        <v>51</v>
      </c>
      <c r="C17" t="s">
        <v>115</v>
      </c>
      <c r="D17" t="s">
        <v>116</v>
      </c>
      <c r="E17" t="s">
        <v>117</v>
      </c>
      <c r="G17" t="s">
        <v>118</v>
      </c>
      <c r="H17" t="s">
        <v>119</v>
      </c>
      <c r="I17" t="s">
        <v>113</v>
      </c>
      <c r="J17" t="s">
        <v>91</v>
      </c>
      <c r="K17" s="3" t="b">
        <v>1</v>
      </c>
      <c r="L17" s="3" t="b">
        <v>1</v>
      </c>
      <c r="M17" s="3" t="b">
        <v>1</v>
      </c>
      <c r="N17" s="3" t="b">
        <v>1</v>
      </c>
      <c r="O17" s="3" t="b">
        <v>1</v>
      </c>
      <c r="P17" s="3" t="b">
        <v>0</v>
      </c>
      <c r="Q17" s="3" t="b">
        <v>0</v>
      </c>
      <c r="R17" s="3" t="b">
        <v>0</v>
      </c>
      <c r="S17" s="3" t="b">
        <v>0</v>
      </c>
      <c r="T17">
        <v>3612</v>
      </c>
      <c r="U17">
        <v>149926</v>
      </c>
      <c r="V17">
        <v>1</v>
      </c>
      <c r="W17">
        <v>13078</v>
      </c>
      <c r="X17">
        <v>13077</v>
      </c>
    </row>
    <row r="18" spans="1:24" x14ac:dyDescent="0.2">
      <c r="A18" t="s">
        <v>120</v>
      </c>
      <c r="B18" t="s">
        <v>58</v>
      </c>
      <c r="C18" t="s">
        <v>121</v>
      </c>
      <c r="D18" t="s">
        <v>122</v>
      </c>
      <c r="G18" t="s">
        <v>123</v>
      </c>
      <c r="H18" t="s">
        <v>124</v>
      </c>
      <c r="I18" t="s">
        <v>125</v>
      </c>
      <c r="J18" t="s">
        <v>91</v>
      </c>
      <c r="K18" s="3" t="b">
        <v>1</v>
      </c>
      <c r="L18" s="3" t="b">
        <v>1</v>
      </c>
      <c r="M18" s="3" t="b">
        <v>0</v>
      </c>
      <c r="N18" s="3" t="b">
        <v>1</v>
      </c>
      <c r="O18" s="3" t="b">
        <v>0</v>
      </c>
      <c r="P18" s="3" t="b">
        <v>0</v>
      </c>
      <c r="Q18" s="3" t="b">
        <v>0</v>
      </c>
      <c r="R18" s="3" t="b">
        <v>0</v>
      </c>
      <c r="S18" s="3" t="b">
        <v>0</v>
      </c>
      <c r="T18">
        <v>1376</v>
      </c>
      <c r="U18">
        <v>54253</v>
      </c>
      <c r="V18">
        <v>1</v>
      </c>
      <c r="W18">
        <v>4418</v>
      </c>
      <c r="X18">
        <v>4417</v>
      </c>
    </row>
    <row r="19" spans="1:24" x14ac:dyDescent="0.2">
      <c r="A19" t="s">
        <v>126</v>
      </c>
      <c r="B19" t="s">
        <v>24</v>
      </c>
      <c r="C19" t="s">
        <v>127</v>
      </c>
      <c r="F19" t="s">
        <v>128</v>
      </c>
      <c r="G19" t="s">
        <v>129</v>
      </c>
      <c r="H19" t="s">
        <v>130</v>
      </c>
      <c r="I19" t="s">
        <v>131</v>
      </c>
      <c r="J19" t="s">
        <v>29</v>
      </c>
      <c r="K19" s="3" t="b">
        <v>1</v>
      </c>
      <c r="L19" s="3" t="b">
        <v>1</v>
      </c>
      <c r="M19" s="3" t="b">
        <v>0</v>
      </c>
      <c r="N19" s="3" t="b">
        <v>0</v>
      </c>
      <c r="O19" s="3" t="b">
        <v>1</v>
      </c>
      <c r="P19" s="3" t="b">
        <v>0</v>
      </c>
      <c r="Q19" s="3" t="b">
        <v>0</v>
      </c>
      <c r="R19" s="3" t="b">
        <v>0</v>
      </c>
      <c r="S19" s="3" t="b">
        <v>0</v>
      </c>
      <c r="T19">
        <v>931</v>
      </c>
      <c r="U19">
        <v>34392</v>
      </c>
      <c r="V19">
        <v>1</v>
      </c>
      <c r="W19">
        <v>2655</v>
      </c>
      <c r="X19">
        <v>2654</v>
      </c>
    </row>
    <row r="20" spans="1:24" x14ac:dyDescent="0.2">
      <c r="A20" t="s">
        <v>132</v>
      </c>
      <c r="B20" t="s">
        <v>24</v>
      </c>
      <c r="C20" t="s">
        <v>133</v>
      </c>
      <c r="D20" t="s">
        <v>134</v>
      </c>
      <c r="F20" t="s">
        <v>135</v>
      </c>
      <c r="G20" t="s">
        <v>136</v>
      </c>
      <c r="H20" t="s">
        <v>137</v>
      </c>
      <c r="I20" t="s">
        <v>138</v>
      </c>
      <c r="J20" t="s">
        <v>91</v>
      </c>
      <c r="K20" s="3" t="b">
        <v>1</v>
      </c>
      <c r="L20" s="3" t="b">
        <v>0</v>
      </c>
      <c r="M20" s="3" t="b">
        <v>0</v>
      </c>
      <c r="N20" s="3" t="b">
        <v>0</v>
      </c>
      <c r="O20" s="3" t="b">
        <v>0</v>
      </c>
      <c r="P20" s="3" t="b">
        <v>0</v>
      </c>
      <c r="Q20" s="3" t="b">
        <v>0</v>
      </c>
      <c r="R20" s="3" t="b">
        <v>0</v>
      </c>
      <c r="S20" s="3" t="b">
        <v>0</v>
      </c>
      <c r="T20">
        <v>3613</v>
      </c>
      <c r="U20">
        <v>149926</v>
      </c>
      <c r="V20">
        <v>1</v>
      </c>
      <c r="W20">
        <v>13077</v>
      </c>
      <c r="X20">
        <v>13076</v>
      </c>
    </row>
    <row r="21" spans="1:24" x14ac:dyDescent="0.2">
      <c r="A21" t="s">
        <v>139</v>
      </c>
      <c r="B21" t="s">
        <v>24</v>
      </c>
      <c r="C21" t="s">
        <v>140</v>
      </c>
      <c r="G21" t="s">
        <v>141</v>
      </c>
      <c r="H21" t="s">
        <v>142</v>
      </c>
      <c r="I21" t="s">
        <v>143</v>
      </c>
      <c r="J21" t="s">
        <v>29</v>
      </c>
      <c r="K21" s="3" t="b">
        <v>1</v>
      </c>
      <c r="L21" s="3" t="b">
        <v>1</v>
      </c>
      <c r="M21" s="3" t="b">
        <v>0</v>
      </c>
      <c r="N21" s="3" t="b">
        <v>1</v>
      </c>
      <c r="O21" s="3" t="b">
        <v>0</v>
      </c>
      <c r="P21" s="3" t="b">
        <v>0</v>
      </c>
      <c r="Q21" s="3" t="b">
        <v>0</v>
      </c>
      <c r="R21" s="3" t="b">
        <v>0</v>
      </c>
      <c r="S21" s="3" t="b">
        <v>0</v>
      </c>
      <c r="T21">
        <v>4368</v>
      </c>
      <c r="U21">
        <v>268650</v>
      </c>
      <c r="V21">
        <v>1</v>
      </c>
      <c r="W21">
        <v>15465</v>
      </c>
      <c r="X21">
        <v>15464</v>
      </c>
    </row>
    <row r="22" spans="1:24" x14ac:dyDescent="0.2">
      <c r="A22" t="s">
        <v>144</v>
      </c>
      <c r="B22" t="s">
        <v>24</v>
      </c>
      <c r="C22" t="s">
        <v>145</v>
      </c>
      <c r="D22" t="s">
        <v>146</v>
      </c>
      <c r="F22" t="s">
        <v>147</v>
      </c>
      <c r="G22" t="s">
        <v>148</v>
      </c>
      <c r="H22" t="s">
        <v>149</v>
      </c>
      <c r="I22" t="s">
        <v>150</v>
      </c>
      <c r="J22" t="s">
        <v>151</v>
      </c>
      <c r="K22" s="3" t="b">
        <v>1</v>
      </c>
      <c r="L22" s="3" t="b">
        <v>1</v>
      </c>
      <c r="M22" s="3" t="b">
        <v>1</v>
      </c>
      <c r="N22" s="3" t="b">
        <v>1</v>
      </c>
      <c r="O22" s="3" t="b">
        <v>1</v>
      </c>
      <c r="P22" s="3" t="b">
        <v>0</v>
      </c>
      <c r="Q22" s="3" t="b">
        <v>0</v>
      </c>
      <c r="R22" s="3" t="b">
        <v>0</v>
      </c>
      <c r="S22" s="3" t="b">
        <v>1</v>
      </c>
      <c r="T22">
        <v>1469</v>
      </c>
      <c r="U22">
        <v>55589</v>
      </c>
      <c r="V22">
        <v>1</v>
      </c>
      <c r="W22">
        <v>4565</v>
      </c>
      <c r="X22">
        <v>4564</v>
      </c>
    </row>
    <row r="23" spans="1:24" x14ac:dyDescent="0.2">
      <c r="A23" t="s">
        <v>152</v>
      </c>
      <c r="B23" t="s">
        <v>24</v>
      </c>
      <c r="C23" t="s">
        <v>153</v>
      </c>
      <c r="G23" t="s">
        <v>154</v>
      </c>
      <c r="H23" t="s">
        <v>155</v>
      </c>
      <c r="I23" t="s">
        <v>156</v>
      </c>
      <c r="J23" t="s">
        <v>29</v>
      </c>
      <c r="K23" s="3" t="b">
        <v>1</v>
      </c>
      <c r="L23" s="3" t="b">
        <v>1</v>
      </c>
      <c r="M23" s="3" t="b">
        <v>0</v>
      </c>
      <c r="N23" s="3" t="b">
        <v>1</v>
      </c>
      <c r="O23" s="3" t="b">
        <v>1</v>
      </c>
      <c r="P23" s="3" t="b">
        <v>0</v>
      </c>
      <c r="Q23" s="3" t="b">
        <v>0</v>
      </c>
      <c r="R23" s="3" t="b">
        <v>0</v>
      </c>
      <c r="S23" s="3" t="b">
        <v>0</v>
      </c>
      <c r="T23">
        <v>40</v>
      </c>
      <c r="U23">
        <v>2403</v>
      </c>
      <c r="V23">
        <v>1</v>
      </c>
      <c r="W23">
        <v>146</v>
      </c>
      <c r="X23">
        <v>145</v>
      </c>
    </row>
    <row r="24" spans="1:24" x14ac:dyDescent="0.2">
      <c r="A24" t="s">
        <v>157</v>
      </c>
      <c r="B24" t="s">
        <v>31</v>
      </c>
      <c r="C24" t="s">
        <v>158</v>
      </c>
      <c r="G24" t="s">
        <v>159</v>
      </c>
      <c r="H24" t="s">
        <v>160</v>
      </c>
      <c r="I24" t="s">
        <v>161</v>
      </c>
      <c r="J24" t="s">
        <v>29</v>
      </c>
      <c r="K24" s="3" t="b">
        <v>1</v>
      </c>
      <c r="L24" s="3" t="b">
        <v>1</v>
      </c>
      <c r="M24" s="3" t="b">
        <v>0</v>
      </c>
      <c r="N24" s="3" t="b">
        <v>1</v>
      </c>
      <c r="O24" s="3" t="b">
        <v>0</v>
      </c>
      <c r="P24" s="3" t="b">
        <v>0</v>
      </c>
      <c r="Q24" s="3" t="b">
        <v>0</v>
      </c>
      <c r="R24" s="3" t="b">
        <v>0</v>
      </c>
      <c r="S24" s="3" t="b">
        <v>0</v>
      </c>
      <c r="T24">
        <v>4320</v>
      </c>
      <c r="U24">
        <v>255891</v>
      </c>
      <c r="V24">
        <v>1</v>
      </c>
      <c r="W24">
        <v>15257</v>
      </c>
      <c r="X24">
        <v>15256</v>
      </c>
    </row>
    <row r="25" spans="1:24" x14ac:dyDescent="0.2">
      <c r="A25" t="s">
        <v>162</v>
      </c>
      <c r="B25" t="s">
        <v>24</v>
      </c>
      <c r="C25" t="s">
        <v>163</v>
      </c>
      <c r="D25" t="s">
        <v>164</v>
      </c>
      <c r="F25" t="s">
        <v>165</v>
      </c>
      <c r="G25" t="s">
        <v>166</v>
      </c>
      <c r="H25" t="s">
        <v>167</v>
      </c>
      <c r="I25" t="s">
        <v>168</v>
      </c>
      <c r="J25" t="s">
        <v>91</v>
      </c>
      <c r="K25" s="3" t="b">
        <v>1</v>
      </c>
      <c r="L25" s="3" t="b">
        <v>1</v>
      </c>
      <c r="M25" s="3" t="b">
        <v>0</v>
      </c>
      <c r="N25" s="3" t="b">
        <v>1</v>
      </c>
      <c r="O25" s="3" t="b">
        <v>0</v>
      </c>
      <c r="P25" s="3" t="b">
        <v>0</v>
      </c>
      <c r="Q25" s="3" t="b">
        <v>0</v>
      </c>
      <c r="R25" s="3" t="b">
        <v>0</v>
      </c>
      <c r="S25" s="3" t="b">
        <v>0</v>
      </c>
      <c r="T25">
        <v>3683</v>
      </c>
      <c r="U25">
        <v>157024</v>
      </c>
      <c r="V25">
        <v>1</v>
      </c>
      <c r="W25">
        <v>13250</v>
      </c>
      <c r="X25">
        <v>13249</v>
      </c>
    </row>
    <row r="26" spans="1:24" x14ac:dyDescent="0.2">
      <c r="A26" t="s">
        <v>169</v>
      </c>
      <c r="B26" t="s">
        <v>58</v>
      </c>
      <c r="C26" t="s">
        <v>170</v>
      </c>
      <c r="D26" t="s">
        <v>171</v>
      </c>
      <c r="G26" t="s">
        <v>172</v>
      </c>
      <c r="H26" t="s">
        <v>173</v>
      </c>
      <c r="I26" t="s">
        <v>174</v>
      </c>
      <c r="J26" t="s">
        <v>91</v>
      </c>
      <c r="K26" s="3" t="b">
        <v>1</v>
      </c>
      <c r="L26" s="3" t="b">
        <v>0</v>
      </c>
      <c r="M26" s="3" t="b">
        <v>0</v>
      </c>
      <c r="N26" s="3" t="b">
        <v>0</v>
      </c>
      <c r="O26" s="3" t="b">
        <v>0</v>
      </c>
      <c r="P26" s="3" t="b">
        <v>0</v>
      </c>
      <c r="Q26" s="3" t="b">
        <v>0</v>
      </c>
      <c r="R26" s="3" t="b">
        <v>0</v>
      </c>
      <c r="S26" s="3" t="b">
        <v>0</v>
      </c>
      <c r="T26">
        <v>406</v>
      </c>
      <c r="U26">
        <v>16876</v>
      </c>
      <c r="V26">
        <v>1</v>
      </c>
      <c r="W26">
        <v>1452</v>
      </c>
      <c r="X26">
        <v>1451</v>
      </c>
    </row>
    <row r="27" spans="1:24" x14ac:dyDescent="0.2">
      <c r="A27" t="s">
        <v>175</v>
      </c>
      <c r="B27" t="s">
        <v>31</v>
      </c>
      <c r="C27" t="s">
        <v>176</v>
      </c>
      <c r="G27" t="s">
        <v>177</v>
      </c>
      <c r="H27" t="s">
        <v>178</v>
      </c>
      <c r="I27" t="s">
        <v>179</v>
      </c>
      <c r="J27" t="s">
        <v>29</v>
      </c>
      <c r="K27" s="3" t="b">
        <v>1</v>
      </c>
      <c r="L27" s="3" t="b">
        <v>1</v>
      </c>
      <c r="M27" s="3" t="b">
        <v>0</v>
      </c>
      <c r="N27" s="3" t="b">
        <v>1</v>
      </c>
      <c r="O27" s="3" t="b">
        <v>0</v>
      </c>
      <c r="P27" s="3" t="b">
        <v>0</v>
      </c>
      <c r="Q27" s="3" t="b">
        <v>0</v>
      </c>
      <c r="R27" s="3" t="b">
        <v>0</v>
      </c>
      <c r="S27" s="3" t="b">
        <v>0</v>
      </c>
      <c r="T27">
        <v>3210</v>
      </c>
      <c r="U27">
        <v>106057</v>
      </c>
      <c r="V27">
        <v>1</v>
      </c>
      <c r="W27">
        <v>10470</v>
      </c>
      <c r="X27">
        <v>10469</v>
      </c>
    </row>
    <row r="28" spans="1:24" x14ac:dyDescent="0.2">
      <c r="A28" t="s">
        <v>180</v>
      </c>
      <c r="B28" t="s">
        <v>58</v>
      </c>
      <c r="C28" t="s">
        <v>181</v>
      </c>
      <c r="G28" t="s">
        <v>182</v>
      </c>
      <c r="H28" t="s">
        <v>183</v>
      </c>
      <c r="I28" t="s">
        <v>184</v>
      </c>
      <c r="J28" t="s">
        <v>29</v>
      </c>
      <c r="K28" s="3" t="b">
        <v>1</v>
      </c>
      <c r="L28" s="3" t="b">
        <v>1</v>
      </c>
      <c r="M28" s="3" t="b">
        <v>0</v>
      </c>
      <c r="N28" s="3" t="b">
        <v>1</v>
      </c>
      <c r="O28" s="3" t="b">
        <v>0</v>
      </c>
      <c r="P28" s="3" t="b">
        <v>0</v>
      </c>
      <c r="Q28" s="3" t="b">
        <v>0</v>
      </c>
      <c r="R28" s="3" t="b">
        <v>0</v>
      </c>
      <c r="S28" s="3" t="b">
        <v>0</v>
      </c>
      <c r="T28">
        <v>2930</v>
      </c>
      <c r="U28">
        <v>99225</v>
      </c>
      <c r="V28">
        <v>1</v>
      </c>
      <c r="W28">
        <v>8627</v>
      </c>
      <c r="X28">
        <v>8626</v>
      </c>
    </row>
    <row r="29" spans="1:24" x14ac:dyDescent="0.2">
      <c r="A29" t="s">
        <v>185</v>
      </c>
      <c r="B29" t="s">
        <v>31</v>
      </c>
      <c r="C29" t="s">
        <v>186</v>
      </c>
      <c r="D29" t="s">
        <v>187</v>
      </c>
      <c r="G29" t="s">
        <v>100</v>
      </c>
      <c r="H29" t="s">
        <v>101</v>
      </c>
      <c r="I29" t="s">
        <v>102</v>
      </c>
      <c r="J29" t="s">
        <v>91</v>
      </c>
      <c r="K29" s="3" t="b">
        <v>1</v>
      </c>
      <c r="L29" s="3" t="b">
        <v>1</v>
      </c>
      <c r="M29" s="3" t="b">
        <v>0</v>
      </c>
      <c r="N29" s="3" t="b">
        <v>1</v>
      </c>
      <c r="O29" s="3" t="b">
        <v>0</v>
      </c>
      <c r="P29" s="3" t="b">
        <v>0</v>
      </c>
      <c r="Q29" s="3" t="b">
        <v>0</v>
      </c>
      <c r="R29" s="3" t="b">
        <v>0</v>
      </c>
      <c r="S29" s="3" t="b">
        <v>0</v>
      </c>
      <c r="T29">
        <v>2265</v>
      </c>
      <c r="U29">
        <v>77688</v>
      </c>
      <c r="V29">
        <v>2</v>
      </c>
      <c r="W29">
        <v>7043</v>
      </c>
      <c r="X29">
        <v>7042</v>
      </c>
    </row>
    <row r="30" spans="1:24" x14ac:dyDescent="0.2">
      <c r="A30" t="s">
        <v>188</v>
      </c>
      <c r="B30" t="s">
        <v>24</v>
      </c>
      <c r="C30" t="s">
        <v>189</v>
      </c>
      <c r="G30" t="s">
        <v>154</v>
      </c>
      <c r="H30" t="s">
        <v>155</v>
      </c>
      <c r="I30" t="s">
        <v>156</v>
      </c>
      <c r="J30" t="s">
        <v>29</v>
      </c>
      <c r="K30" s="3" t="b">
        <v>1</v>
      </c>
      <c r="L30" s="3" t="b">
        <v>1</v>
      </c>
      <c r="M30" s="3" t="b">
        <v>0</v>
      </c>
      <c r="N30" s="3" t="b">
        <v>1</v>
      </c>
      <c r="O30" s="3" t="b">
        <v>1</v>
      </c>
      <c r="P30" s="3" t="b">
        <v>0</v>
      </c>
      <c r="Q30" s="3" t="b">
        <v>0</v>
      </c>
      <c r="R30" s="3" t="b">
        <v>0</v>
      </c>
      <c r="S30" s="3" t="b">
        <v>0</v>
      </c>
      <c r="T30">
        <v>40</v>
      </c>
      <c r="U30">
        <v>2403</v>
      </c>
      <c r="V30">
        <v>1</v>
      </c>
      <c r="W30">
        <v>146</v>
      </c>
      <c r="X30">
        <v>145</v>
      </c>
    </row>
    <row r="31" spans="1:24" x14ac:dyDescent="0.2">
      <c r="A31" t="s">
        <v>190</v>
      </c>
      <c r="B31" t="s">
        <v>58</v>
      </c>
      <c r="C31" t="s">
        <v>191</v>
      </c>
      <c r="D31" t="s">
        <v>192</v>
      </c>
      <c r="G31" t="s">
        <v>193</v>
      </c>
      <c r="H31" t="s">
        <v>194</v>
      </c>
      <c r="I31" t="s">
        <v>131</v>
      </c>
      <c r="J31" t="s">
        <v>29</v>
      </c>
      <c r="K31" s="3" t="b">
        <v>1</v>
      </c>
      <c r="L31" s="3" t="b">
        <v>1</v>
      </c>
      <c r="M31" s="3" t="b">
        <v>0</v>
      </c>
      <c r="N31" s="3" t="b">
        <v>1</v>
      </c>
      <c r="O31" s="3" t="b">
        <v>0</v>
      </c>
      <c r="P31" s="3" t="b">
        <v>0</v>
      </c>
      <c r="Q31" s="3" t="b">
        <v>0</v>
      </c>
      <c r="R31" s="3" t="b">
        <v>0</v>
      </c>
      <c r="S31" s="3" t="b">
        <v>0</v>
      </c>
      <c r="T31">
        <v>931</v>
      </c>
      <c r="U31">
        <v>34392</v>
      </c>
      <c r="V31">
        <v>1</v>
      </c>
      <c r="W31">
        <v>2655</v>
      </c>
      <c r="X31">
        <v>2654</v>
      </c>
    </row>
    <row r="32" spans="1:24" x14ac:dyDescent="0.2">
      <c r="A32" t="s">
        <v>195</v>
      </c>
      <c r="B32" t="s">
        <v>31</v>
      </c>
      <c r="C32" t="s">
        <v>196</v>
      </c>
      <c r="D32" t="s">
        <v>197</v>
      </c>
      <c r="G32" t="s">
        <v>198</v>
      </c>
      <c r="H32" t="s">
        <v>199</v>
      </c>
      <c r="I32" t="s">
        <v>200</v>
      </c>
      <c r="J32" t="s">
        <v>201</v>
      </c>
      <c r="K32" s="3" t="b">
        <v>1</v>
      </c>
      <c r="L32" s="3" t="b">
        <v>1</v>
      </c>
      <c r="M32" s="3" t="b">
        <v>0</v>
      </c>
      <c r="N32" s="3" t="b">
        <v>1</v>
      </c>
      <c r="O32" s="3" t="b">
        <v>0</v>
      </c>
      <c r="P32" s="3" t="b">
        <v>0</v>
      </c>
      <c r="Q32" s="3" t="b">
        <v>0</v>
      </c>
      <c r="R32" s="3" t="b">
        <v>0</v>
      </c>
      <c r="S32" s="3" t="b">
        <v>0</v>
      </c>
      <c r="T32">
        <v>660</v>
      </c>
      <c r="U32">
        <v>21283</v>
      </c>
      <c r="V32">
        <v>24</v>
      </c>
      <c r="W32">
        <v>1852</v>
      </c>
      <c r="X32">
        <v>1851</v>
      </c>
    </row>
    <row r="33" spans="1:24" x14ac:dyDescent="0.2">
      <c r="A33" t="s">
        <v>202</v>
      </c>
      <c r="B33" t="s">
        <v>58</v>
      </c>
      <c r="C33" t="s">
        <v>203</v>
      </c>
      <c r="G33" t="s">
        <v>204</v>
      </c>
      <c r="H33" t="s">
        <v>205</v>
      </c>
      <c r="I33" t="s">
        <v>206</v>
      </c>
      <c r="J33" t="s">
        <v>29</v>
      </c>
      <c r="K33" s="3" t="b">
        <v>1</v>
      </c>
      <c r="L33" s="3" t="b">
        <v>1</v>
      </c>
      <c r="M33" s="3" t="b">
        <v>0</v>
      </c>
      <c r="N33" s="3" t="b">
        <v>1</v>
      </c>
      <c r="O33" s="3" t="b">
        <v>0</v>
      </c>
      <c r="P33" s="3" t="b">
        <v>0</v>
      </c>
      <c r="Q33" s="3" t="b">
        <v>0</v>
      </c>
      <c r="R33" s="3" t="b">
        <v>0</v>
      </c>
      <c r="S33" s="3" t="b">
        <v>0</v>
      </c>
      <c r="T33">
        <v>3537</v>
      </c>
      <c r="U33">
        <v>135154</v>
      </c>
      <c r="V33">
        <v>1</v>
      </c>
      <c r="W33">
        <v>12633</v>
      </c>
      <c r="X33">
        <v>12632</v>
      </c>
    </row>
    <row r="34" spans="1:24" x14ac:dyDescent="0.2">
      <c r="A34" t="s">
        <v>207</v>
      </c>
      <c r="B34" t="s">
        <v>24</v>
      </c>
      <c r="C34" t="s">
        <v>208</v>
      </c>
      <c r="D34" t="s">
        <v>209</v>
      </c>
      <c r="F34" t="s">
        <v>210</v>
      </c>
      <c r="G34" t="s">
        <v>211</v>
      </c>
      <c r="H34" t="s">
        <v>212</v>
      </c>
      <c r="I34" t="s">
        <v>213</v>
      </c>
      <c r="J34" t="s">
        <v>29</v>
      </c>
      <c r="K34" s="3" t="b">
        <v>1</v>
      </c>
      <c r="L34" s="3" t="b">
        <v>1</v>
      </c>
      <c r="M34" s="3" t="b">
        <v>1</v>
      </c>
      <c r="N34" s="3" t="b">
        <v>1</v>
      </c>
      <c r="O34" s="3" t="b">
        <v>0</v>
      </c>
      <c r="P34" s="3" t="b">
        <v>0</v>
      </c>
      <c r="Q34" s="3" t="b">
        <v>0</v>
      </c>
      <c r="R34" s="3" t="b">
        <v>0</v>
      </c>
      <c r="S34" s="3" t="b">
        <v>0</v>
      </c>
      <c r="T34">
        <v>57</v>
      </c>
      <c r="U34">
        <v>5542</v>
      </c>
      <c r="V34">
        <v>1</v>
      </c>
      <c r="W34">
        <v>276</v>
      </c>
      <c r="X34">
        <v>275</v>
      </c>
    </row>
    <row r="35" spans="1:24" x14ac:dyDescent="0.2">
      <c r="A35" t="s">
        <v>214</v>
      </c>
      <c r="B35" t="s">
        <v>24</v>
      </c>
      <c r="C35" t="s">
        <v>215</v>
      </c>
      <c r="D35" t="s">
        <v>216</v>
      </c>
      <c r="F35" t="s">
        <v>217</v>
      </c>
      <c r="G35" t="s">
        <v>218</v>
      </c>
      <c r="H35" t="s">
        <v>219</v>
      </c>
      <c r="I35" t="s">
        <v>220</v>
      </c>
      <c r="J35" t="s">
        <v>91</v>
      </c>
      <c r="K35" s="3" t="b">
        <v>1</v>
      </c>
      <c r="L35" s="3" t="b">
        <v>1</v>
      </c>
      <c r="M35" s="3" t="b">
        <v>1</v>
      </c>
      <c r="N35" s="3" t="b">
        <v>1</v>
      </c>
      <c r="O35" s="3" t="b">
        <v>1</v>
      </c>
      <c r="P35" s="3" t="b">
        <v>1</v>
      </c>
      <c r="Q35" s="3" t="b">
        <v>0</v>
      </c>
      <c r="R35" s="3" t="b">
        <v>0</v>
      </c>
      <c r="S35" s="3" t="b">
        <v>1</v>
      </c>
      <c r="T35">
        <v>2872</v>
      </c>
      <c r="U35">
        <v>97877</v>
      </c>
      <c r="V35">
        <v>1</v>
      </c>
      <c r="W35">
        <v>8506</v>
      </c>
      <c r="X35">
        <v>8505</v>
      </c>
    </row>
    <row r="36" spans="1:24" x14ac:dyDescent="0.2">
      <c r="A36" t="s">
        <v>221</v>
      </c>
      <c r="B36" t="s">
        <v>31</v>
      </c>
      <c r="C36" t="s">
        <v>222</v>
      </c>
      <c r="D36" t="s">
        <v>223</v>
      </c>
      <c r="G36" t="s">
        <v>224</v>
      </c>
      <c r="H36" t="s">
        <v>225</v>
      </c>
      <c r="I36" t="s">
        <v>226</v>
      </c>
      <c r="J36" t="s">
        <v>227</v>
      </c>
      <c r="K36" s="3" t="b">
        <v>1</v>
      </c>
      <c r="L36" s="3" t="b">
        <v>1</v>
      </c>
      <c r="M36" s="3" t="b">
        <v>0</v>
      </c>
      <c r="N36" s="3" t="b">
        <v>1</v>
      </c>
      <c r="O36" s="3" t="b">
        <v>0</v>
      </c>
      <c r="P36" s="3" t="b">
        <v>0</v>
      </c>
      <c r="Q36" s="3" t="b">
        <v>0</v>
      </c>
      <c r="R36" s="3" t="b">
        <v>0</v>
      </c>
      <c r="S36" s="3" t="b">
        <v>0</v>
      </c>
      <c r="T36">
        <v>1781</v>
      </c>
      <c r="U36">
        <v>58507</v>
      </c>
      <c r="V36">
        <v>1</v>
      </c>
      <c r="W36">
        <v>5290</v>
      </c>
      <c r="X36">
        <v>5288</v>
      </c>
    </row>
    <row r="37" spans="1:24" x14ac:dyDescent="0.2">
      <c r="A37" t="s">
        <v>228</v>
      </c>
      <c r="B37" t="s">
        <v>24</v>
      </c>
      <c r="C37" t="s">
        <v>229</v>
      </c>
      <c r="G37" t="s">
        <v>230</v>
      </c>
      <c r="H37" t="s">
        <v>231</v>
      </c>
      <c r="I37" t="s">
        <v>232</v>
      </c>
      <c r="J37" t="s">
        <v>29</v>
      </c>
      <c r="K37" s="3" t="b">
        <v>1</v>
      </c>
      <c r="L37" s="3" t="b">
        <v>1</v>
      </c>
      <c r="M37" s="3" t="b">
        <v>0</v>
      </c>
      <c r="N37" s="3" t="b">
        <v>1</v>
      </c>
      <c r="O37" s="3" t="b">
        <v>0</v>
      </c>
      <c r="P37" s="3" t="b">
        <v>0</v>
      </c>
      <c r="Q37" s="3" t="b">
        <v>0</v>
      </c>
      <c r="R37" s="3" t="b">
        <v>0</v>
      </c>
      <c r="S37" s="3" t="b">
        <v>0</v>
      </c>
      <c r="T37">
        <v>2285</v>
      </c>
      <c r="U37">
        <v>82290</v>
      </c>
      <c r="V37">
        <v>1</v>
      </c>
      <c r="W37">
        <v>7236</v>
      </c>
      <c r="X37">
        <v>7235</v>
      </c>
    </row>
    <row r="38" spans="1:24" x14ac:dyDescent="0.2">
      <c r="A38" t="s">
        <v>233</v>
      </c>
      <c r="B38" t="s">
        <v>24</v>
      </c>
      <c r="C38" t="s">
        <v>234</v>
      </c>
      <c r="D38" t="s">
        <v>235</v>
      </c>
      <c r="F38" t="s">
        <v>236</v>
      </c>
      <c r="G38" t="s">
        <v>237</v>
      </c>
      <c r="H38" t="s">
        <v>238</v>
      </c>
      <c r="I38" t="s">
        <v>239</v>
      </c>
      <c r="J38" t="s">
        <v>91</v>
      </c>
      <c r="K38" s="3" t="b">
        <v>1</v>
      </c>
      <c r="L38" s="3" t="b">
        <v>1</v>
      </c>
      <c r="M38" s="3" t="b">
        <v>0</v>
      </c>
      <c r="N38" s="3" t="b">
        <v>1</v>
      </c>
      <c r="O38" s="3" t="b">
        <v>0</v>
      </c>
      <c r="P38" s="3" t="b">
        <v>0</v>
      </c>
      <c r="Q38" s="3" t="b">
        <v>0</v>
      </c>
      <c r="R38" s="3" t="b">
        <v>0</v>
      </c>
      <c r="S38" s="3" t="b">
        <v>0</v>
      </c>
      <c r="T38">
        <v>3306</v>
      </c>
      <c r="U38">
        <v>110330</v>
      </c>
      <c r="V38">
        <v>1</v>
      </c>
      <c r="W38">
        <v>11237</v>
      </c>
      <c r="X38">
        <v>11236</v>
      </c>
    </row>
    <row r="39" spans="1:24" x14ac:dyDescent="0.2">
      <c r="A39" t="s">
        <v>240</v>
      </c>
      <c r="B39" t="s">
        <v>58</v>
      </c>
      <c r="C39" t="s">
        <v>241</v>
      </c>
      <c r="G39" t="s">
        <v>242</v>
      </c>
      <c r="H39" t="s">
        <v>243</v>
      </c>
      <c r="I39" t="s">
        <v>244</v>
      </c>
      <c r="J39" t="s">
        <v>91</v>
      </c>
      <c r="K39" s="3" t="b">
        <v>1</v>
      </c>
      <c r="L39" s="3" t="b">
        <v>1</v>
      </c>
      <c r="M39" s="3" t="b">
        <v>0</v>
      </c>
      <c r="N39" s="3" t="b">
        <v>1</v>
      </c>
      <c r="O39" s="3" t="b">
        <v>0</v>
      </c>
      <c r="P39" s="3" t="b">
        <v>0</v>
      </c>
      <c r="Q39" s="3" t="b">
        <v>0</v>
      </c>
      <c r="R39" s="3" t="b">
        <v>0</v>
      </c>
      <c r="S39" s="3" t="b">
        <v>0</v>
      </c>
      <c r="T39">
        <v>4027</v>
      </c>
      <c r="U39">
        <v>212418</v>
      </c>
      <c r="V39">
        <v>1</v>
      </c>
      <c r="W39">
        <v>14520</v>
      </c>
      <c r="X39">
        <v>14519</v>
      </c>
    </row>
    <row r="40" spans="1:24" x14ac:dyDescent="0.2">
      <c r="A40" t="s">
        <v>245</v>
      </c>
      <c r="B40" t="s">
        <v>24</v>
      </c>
      <c r="C40" t="s">
        <v>246</v>
      </c>
      <c r="D40" t="s">
        <v>247</v>
      </c>
      <c r="F40" t="s">
        <v>248</v>
      </c>
      <c r="G40" t="s">
        <v>249</v>
      </c>
      <c r="H40" t="s">
        <v>250</v>
      </c>
      <c r="I40" t="s">
        <v>251</v>
      </c>
      <c r="J40" t="s">
        <v>91</v>
      </c>
      <c r="K40" s="3" t="b">
        <v>1</v>
      </c>
      <c r="L40" s="3" t="b">
        <v>1</v>
      </c>
      <c r="M40" s="3" t="b">
        <v>0</v>
      </c>
      <c r="N40" s="3" t="b">
        <v>1</v>
      </c>
      <c r="O40" s="3" t="b">
        <v>0</v>
      </c>
      <c r="P40" s="3" t="b">
        <v>0</v>
      </c>
      <c r="Q40" s="3" t="b">
        <v>0</v>
      </c>
      <c r="R40" s="3" t="b">
        <v>0</v>
      </c>
      <c r="S40" s="3" t="b">
        <v>0</v>
      </c>
      <c r="T40">
        <v>760</v>
      </c>
      <c r="U40">
        <v>23507</v>
      </c>
      <c r="V40">
        <v>1</v>
      </c>
      <c r="W40">
        <v>2124</v>
      </c>
      <c r="X40">
        <v>2123</v>
      </c>
    </row>
    <row r="41" spans="1:24" x14ac:dyDescent="0.2">
      <c r="A41" t="s">
        <v>252</v>
      </c>
      <c r="B41" t="s">
        <v>24</v>
      </c>
      <c r="C41" t="s">
        <v>253</v>
      </c>
      <c r="D41" t="s">
        <v>254</v>
      </c>
      <c r="F41" t="s">
        <v>255</v>
      </c>
      <c r="G41" t="s">
        <v>256</v>
      </c>
      <c r="H41" t="s">
        <v>257</v>
      </c>
      <c r="I41" t="s">
        <v>258</v>
      </c>
      <c r="J41" t="s">
        <v>91</v>
      </c>
      <c r="K41" s="3" t="b">
        <v>1</v>
      </c>
      <c r="L41" s="3" t="b">
        <v>0</v>
      </c>
      <c r="M41" s="3" t="b">
        <v>0</v>
      </c>
      <c r="N41" s="3" t="b">
        <v>0</v>
      </c>
      <c r="O41" s="3" t="b">
        <v>0</v>
      </c>
      <c r="P41" s="3" t="b">
        <v>0</v>
      </c>
      <c r="Q41" s="3" t="b">
        <v>0</v>
      </c>
      <c r="R41" s="3" t="b">
        <v>0</v>
      </c>
      <c r="S41" s="3" t="b">
        <v>0</v>
      </c>
      <c r="T41">
        <v>239</v>
      </c>
      <c r="U41">
        <v>11179</v>
      </c>
      <c r="V41">
        <v>1</v>
      </c>
      <c r="W41">
        <v>846</v>
      </c>
      <c r="X41">
        <v>845</v>
      </c>
    </row>
    <row r="42" spans="1:24" x14ac:dyDescent="0.2">
      <c r="A42" t="s">
        <v>259</v>
      </c>
      <c r="B42" t="s">
        <v>58</v>
      </c>
      <c r="C42" t="s">
        <v>260</v>
      </c>
      <c r="D42" t="s">
        <v>261</v>
      </c>
      <c r="G42" t="s">
        <v>262</v>
      </c>
      <c r="H42" t="s">
        <v>263</v>
      </c>
      <c r="I42" t="s">
        <v>264</v>
      </c>
      <c r="J42" t="s">
        <v>91</v>
      </c>
      <c r="K42" s="3" t="b">
        <v>1</v>
      </c>
      <c r="L42" s="3" t="b">
        <v>1</v>
      </c>
      <c r="M42" s="3" t="b">
        <v>0</v>
      </c>
      <c r="N42" s="3" t="b">
        <v>1</v>
      </c>
      <c r="O42" s="3" t="b">
        <v>1</v>
      </c>
      <c r="P42" s="3" t="b">
        <v>0</v>
      </c>
      <c r="Q42" s="3" t="b">
        <v>0</v>
      </c>
      <c r="R42" s="3" t="b">
        <v>0</v>
      </c>
      <c r="S42" s="3" t="b">
        <v>1</v>
      </c>
      <c r="T42">
        <v>3502</v>
      </c>
      <c r="U42">
        <v>132324</v>
      </c>
      <c r="V42">
        <v>1</v>
      </c>
      <c r="W42">
        <v>12465</v>
      </c>
      <c r="X42">
        <v>12464</v>
      </c>
    </row>
    <row r="43" spans="1:24" x14ac:dyDescent="0.2">
      <c r="A43" t="s">
        <v>265</v>
      </c>
      <c r="B43" t="s">
        <v>58</v>
      </c>
      <c r="C43" t="s">
        <v>266</v>
      </c>
      <c r="G43" t="s">
        <v>72</v>
      </c>
      <c r="H43" t="s">
        <v>73</v>
      </c>
      <c r="I43" t="s">
        <v>74</v>
      </c>
      <c r="J43" t="s">
        <v>267</v>
      </c>
      <c r="K43" s="3" t="b">
        <v>1</v>
      </c>
      <c r="L43" s="3" t="b">
        <v>1</v>
      </c>
      <c r="M43" s="3" t="b">
        <v>0</v>
      </c>
      <c r="N43" s="3" t="b">
        <v>1</v>
      </c>
      <c r="O43" s="3" t="b">
        <v>0</v>
      </c>
      <c r="P43" s="3" t="b">
        <v>0</v>
      </c>
      <c r="Q43" s="3" t="b">
        <v>0</v>
      </c>
      <c r="R43" s="3" t="b">
        <v>0</v>
      </c>
      <c r="S43" s="3" t="b">
        <v>0</v>
      </c>
      <c r="T43">
        <v>870</v>
      </c>
      <c r="U43">
        <v>29747</v>
      </c>
      <c r="V43">
        <v>1</v>
      </c>
      <c r="W43">
        <v>2551</v>
      </c>
      <c r="X43">
        <v>2550</v>
      </c>
    </row>
    <row r="44" spans="1:24" x14ac:dyDescent="0.2">
      <c r="A44" t="s">
        <v>268</v>
      </c>
      <c r="B44" t="s">
        <v>51</v>
      </c>
      <c r="C44" t="s">
        <v>269</v>
      </c>
      <c r="E44" t="s">
        <v>270</v>
      </c>
      <c r="G44" t="s">
        <v>271</v>
      </c>
      <c r="H44" t="s">
        <v>272</v>
      </c>
      <c r="I44" t="s">
        <v>273</v>
      </c>
      <c r="J44" t="s">
        <v>29</v>
      </c>
      <c r="K44" s="3" t="b">
        <v>1</v>
      </c>
      <c r="L44" s="3" t="b">
        <v>1</v>
      </c>
      <c r="M44" s="3" t="b">
        <v>0</v>
      </c>
      <c r="N44" s="3" t="b">
        <v>1</v>
      </c>
      <c r="O44" s="3" t="b">
        <v>1</v>
      </c>
      <c r="P44" s="3" t="b">
        <v>0</v>
      </c>
      <c r="Q44" s="3" t="b">
        <v>0</v>
      </c>
      <c r="R44" s="3" t="b">
        <v>0</v>
      </c>
      <c r="S44" s="3" t="b">
        <v>1</v>
      </c>
      <c r="T44">
        <v>445</v>
      </c>
      <c r="U44">
        <v>17600</v>
      </c>
      <c r="V44">
        <v>1</v>
      </c>
      <c r="W44">
        <v>1517</v>
      </c>
      <c r="X44">
        <v>1516</v>
      </c>
    </row>
    <row r="45" spans="1:24" x14ac:dyDescent="0.2">
      <c r="A45" t="s">
        <v>274</v>
      </c>
      <c r="B45" t="s">
        <v>58</v>
      </c>
      <c r="C45" t="s">
        <v>275</v>
      </c>
      <c r="G45" t="s">
        <v>276</v>
      </c>
      <c r="H45" t="s">
        <v>277</v>
      </c>
      <c r="I45" t="s">
        <v>278</v>
      </c>
      <c r="J45" t="s">
        <v>91</v>
      </c>
      <c r="K45" s="3" t="b">
        <v>1</v>
      </c>
      <c r="L45" s="3" t="b">
        <v>1</v>
      </c>
      <c r="M45" s="3" t="b">
        <v>0</v>
      </c>
      <c r="N45" s="3" t="b">
        <v>1</v>
      </c>
      <c r="O45" s="3" t="b">
        <v>0</v>
      </c>
      <c r="P45" s="3" t="b">
        <v>0</v>
      </c>
      <c r="Q45" s="3" t="b">
        <v>0</v>
      </c>
      <c r="R45" s="3" t="b">
        <v>0</v>
      </c>
      <c r="S45" s="3" t="b">
        <v>0</v>
      </c>
      <c r="T45">
        <v>3726</v>
      </c>
      <c r="U45">
        <v>162404</v>
      </c>
      <c r="V45">
        <v>1</v>
      </c>
      <c r="W45">
        <v>13322</v>
      </c>
      <c r="X45">
        <v>13321</v>
      </c>
    </row>
    <row r="46" spans="1:24" x14ac:dyDescent="0.2">
      <c r="A46" t="s">
        <v>279</v>
      </c>
      <c r="B46" t="s">
        <v>58</v>
      </c>
      <c r="C46" t="s">
        <v>280</v>
      </c>
      <c r="G46" t="s">
        <v>281</v>
      </c>
      <c r="H46" t="s">
        <v>282</v>
      </c>
      <c r="I46" t="s">
        <v>283</v>
      </c>
      <c r="J46" t="s">
        <v>29</v>
      </c>
      <c r="K46" s="3" t="b">
        <v>1</v>
      </c>
      <c r="L46" s="3" t="b">
        <v>1</v>
      </c>
      <c r="M46" s="3" t="b">
        <v>1</v>
      </c>
      <c r="N46" s="3" t="b">
        <v>1</v>
      </c>
      <c r="O46" s="3" t="b">
        <v>1</v>
      </c>
      <c r="P46" s="3" t="b">
        <v>0</v>
      </c>
      <c r="Q46" s="3" t="b">
        <v>1</v>
      </c>
      <c r="R46" s="3" t="b">
        <v>0</v>
      </c>
      <c r="S46" s="3" t="b">
        <v>1</v>
      </c>
      <c r="T46">
        <v>2281</v>
      </c>
      <c r="U46">
        <v>82290</v>
      </c>
      <c r="V46">
        <v>1</v>
      </c>
      <c r="W46">
        <v>7240</v>
      </c>
      <c r="X46">
        <v>7239</v>
      </c>
    </row>
    <row r="47" spans="1:24" x14ac:dyDescent="0.2">
      <c r="A47" t="s">
        <v>284</v>
      </c>
      <c r="B47" t="s">
        <v>51</v>
      </c>
      <c r="C47" t="s">
        <v>285</v>
      </c>
      <c r="D47" t="s">
        <v>286</v>
      </c>
      <c r="E47" t="s">
        <v>287</v>
      </c>
      <c r="G47" t="s">
        <v>288</v>
      </c>
      <c r="H47" t="s">
        <v>289</v>
      </c>
      <c r="I47" t="s">
        <v>290</v>
      </c>
      <c r="J47" t="s">
        <v>91</v>
      </c>
      <c r="K47" s="3" t="b">
        <v>1</v>
      </c>
      <c r="L47" s="3" t="b">
        <v>1</v>
      </c>
      <c r="M47" s="3" t="b">
        <v>0</v>
      </c>
      <c r="N47" s="3" t="b">
        <v>1</v>
      </c>
      <c r="O47" s="3" t="b">
        <v>0</v>
      </c>
      <c r="P47" s="3" t="b">
        <v>0</v>
      </c>
      <c r="Q47" s="3" t="b">
        <v>0</v>
      </c>
      <c r="R47" s="3" t="b">
        <v>0</v>
      </c>
      <c r="S47" s="3" t="b">
        <v>1</v>
      </c>
      <c r="T47">
        <v>1231</v>
      </c>
      <c r="U47">
        <v>46785</v>
      </c>
      <c r="V47">
        <v>1</v>
      </c>
      <c r="W47">
        <v>3373</v>
      </c>
      <c r="X47">
        <v>3372</v>
      </c>
    </row>
    <row r="48" spans="1:24" x14ac:dyDescent="0.2">
      <c r="A48" t="s">
        <v>291</v>
      </c>
      <c r="B48" t="s">
        <v>24</v>
      </c>
      <c r="C48" t="s">
        <v>292</v>
      </c>
      <c r="G48" t="s">
        <v>293</v>
      </c>
      <c r="H48" t="s">
        <v>294</v>
      </c>
      <c r="I48" t="s">
        <v>295</v>
      </c>
      <c r="J48" t="s">
        <v>29</v>
      </c>
      <c r="K48" s="3" t="b">
        <v>1</v>
      </c>
      <c r="L48" s="3" t="b">
        <v>1</v>
      </c>
      <c r="M48" s="3" t="b">
        <v>0</v>
      </c>
      <c r="N48" s="3" t="b">
        <v>1</v>
      </c>
      <c r="O48" s="3" t="b">
        <v>1</v>
      </c>
      <c r="P48" s="3" t="b">
        <v>0</v>
      </c>
      <c r="Q48" s="3" t="b">
        <v>0</v>
      </c>
      <c r="R48" s="3" t="b">
        <v>0</v>
      </c>
      <c r="S48" s="3" t="b">
        <v>0</v>
      </c>
      <c r="T48">
        <v>34</v>
      </c>
      <c r="U48">
        <v>2403</v>
      </c>
      <c r="V48">
        <v>1</v>
      </c>
      <c r="W48">
        <v>152</v>
      </c>
      <c r="X48">
        <v>151</v>
      </c>
    </row>
    <row r="49" spans="1:24" x14ac:dyDescent="0.2">
      <c r="A49" t="s">
        <v>296</v>
      </c>
      <c r="B49" t="s">
        <v>31</v>
      </c>
      <c r="C49" t="s">
        <v>297</v>
      </c>
      <c r="G49" t="s">
        <v>33</v>
      </c>
      <c r="H49" t="s">
        <v>34</v>
      </c>
      <c r="I49" t="s">
        <v>35</v>
      </c>
      <c r="J49" t="s">
        <v>29</v>
      </c>
      <c r="K49" s="3" t="b">
        <v>1</v>
      </c>
      <c r="L49" s="3" t="b">
        <v>1</v>
      </c>
      <c r="M49" s="3" t="b">
        <v>0</v>
      </c>
      <c r="N49" s="3" t="b">
        <v>1</v>
      </c>
      <c r="O49" s="3" t="b">
        <v>0</v>
      </c>
      <c r="P49" s="3" t="b">
        <v>0</v>
      </c>
      <c r="Q49" s="3" t="b">
        <v>0</v>
      </c>
      <c r="R49" s="3" t="b">
        <v>0</v>
      </c>
      <c r="S49" s="3" t="b">
        <v>0</v>
      </c>
      <c r="T49">
        <v>3745</v>
      </c>
      <c r="U49">
        <v>163227</v>
      </c>
      <c r="V49">
        <v>1</v>
      </c>
      <c r="W49">
        <v>13361</v>
      </c>
      <c r="X49">
        <v>13360</v>
      </c>
    </row>
    <row r="50" spans="1:24" x14ac:dyDescent="0.2">
      <c r="A50" t="s">
        <v>298</v>
      </c>
      <c r="B50" t="s">
        <v>31</v>
      </c>
      <c r="C50" t="s">
        <v>299</v>
      </c>
      <c r="D50">
        <f>21.3</f>
        <v>21.3</v>
      </c>
      <c r="G50" t="s">
        <v>46</v>
      </c>
      <c r="H50" t="s">
        <v>47</v>
      </c>
      <c r="I50" t="s">
        <v>48</v>
      </c>
      <c r="J50" t="s">
        <v>49</v>
      </c>
      <c r="K50" s="3" t="b">
        <v>1</v>
      </c>
      <c r="L50" s="3" t="b">
        <v>0</v>
      </c>
      <c r="M50" s="3" t="b">
        <v>0</v>
      </c>
      <c r="N50" s="3" t="b">
        <v>0</v>
      </c>
      <c r="O50" s="3" t="b">
        <v>0</v>
      </c>
      <c r="P50" s="3" t="b">
        <v>0</v>
      </c>
      <c r="Q50" s="3" t="b">
        <v>0</v>
      </c>
      <c r="R50" s="3" t="b">
        <v>0</v>
      </c>
      <c r="S50" s="3" t="b">
        <v>0</v>
      </c>
      <c r="T50">
        <v>3559</v>
      </c>
      <c r="U50">
        <v>140184</v>
      </c>
      <c r="V50">
        <v>1</v>
      </c>
      <c r="W50">
        <v>12708</v>
      </c>
      <c r="X50">
        <v>12707</v>
      </c>
    </row>
    <row r="51" spans="1:24" x14ac:dyDescent="0.2">
      <c r="A51" t="s">
        <v>300</v>
      </c>
      <c r="B51" t="s">
        <v>58</v>
      </c>
      <c r="C51" t="s">
        <v>301</v>
      </c>
      <c r="G51" t="s">
        <v>302</v>
      </c>
      <c r="H51" t="s">
        <v>303</v>
      </c>
      <c r="I51" t="s">
        <v>304</v>
      </c>
      <c r="J51" t="s">
        <v>29</v>
      </c>
      <c r="K51" s="3" t="b">
        <v>1</v>
      </c>
      <c r="L51" s="3" t="b">
        <v>0</v>
      </c>
      <c r="M51" s="3" t="b">
        <v>0</v>
      </c>
      <c r="N51" s="3" t="b">
        <v>0</v>
      </c>
      <c r="O51" s="3" t="b">
        <v>0</v>
      </c>
      <c r="P51" s="3" t="b">
        <v>0</v>
      </c>
      <c r="Q51" s="3" t="b">
        <v>0</v>
      </c>
      <c r="R51" s="3" t="b">
        <v>0</v>
      </c>
      <c r="S51" s="3" t="b">
        <v>0</v>
      </c>
      <c r="T51">
        <v>2865</v>
      </c>
      <c r="U51">
        <v>97877</v>
      </c>
      <c r="V51">
        <v>1</v>
      </c>
      <c r="W51">
        <v>8513</v>
      </c>
      <c r="X51">
        <v>8512</v>
      </c>
    </row>
    <row r="52" spans="1:24" x14ac:dyDescent="0.2">
      <c r="A52" t="s">
        <v>305</v>
      </c>
      <c r="B52" t="s">
        <v>58</v>
      </c>
      <c r="C52" t="s">
        <v>306</v>
      </c>
      <c r="G52" t="s">
        <v>307</v>
      </c>
      <c r="H52" t="s">
        <v>308</v>
      </c>
      <c r="I52" t="s">
        <v>309</v>
      </c>
      <c r="J52" t="s">
        <v>310</v>
      </c>
      <c r="K52" s="3" t="b">
        <v>1</v>
      </c>
      <c r="L52" s="3" t="b">
        <v>1</v>
      </c>
      <c r="M52" s="3" t="b">
        <v>0</v>
      </c>
      <c r="N52" s="3" t="b">
        <v>0</v>
      </c>
      <c r="O52" s="3" t="b">
        <v>1</v>
      </c>
      <c r="P52" s="3" t="b">
        <v>0</v>
      </c>
      <c r="Q52" s="3" t="b">
        <v>0</v>
      </c>
      <c r="R52" s="3" t="b">
        <v>0</v>
      </c>
      <c r="S52" s="3" t="b">
        <v>0</v>
      </c>
      <c r="T52">
        <v>680</v>
      </c>
      <c r="U52">
        <v>21283</v>
      </c>
      <c r="V52">
        <v>38</v>
      </c>
      <c r="W52">
        <v>1921</v>
      </c>
      <c r="X52">
        <v>1856</v>
      </c>
    </row>
    <row r="53" spans="1:24" x14ac:dyDescent="0.2">
      <c r="A53" t="s">
        <v>311</v>
      </c>
      <c r="B53" t="s">
        <v>31</v>
      </c>
      <c r="C53" t="s">
        <v>241</v>
      </c>
      <c r="G53" t="s">
        <v>312</v>
      </c>
      <c r="H53" t="s">
        <v>313</v>
      </c>
      <c r="I53" t="s">
        <v>314</v>
      </c>
      <c r="J53" t="s">
        <v>315</v>
      </c>
      <c r="K53" s="3" t="b">
        <v>1</v>
      </c>
      <c r="L53" s="3" t="b">
        <v>0</v>
      </c>
      <c r="M53" s="3" t="b">
        <v>0</v>
      </c>
      <c r="N53" s="3" t="b">
        <v>0</v>
      </c>
      <c r="O53" s="3" t="b">
        <v>0</v>
      </c>
      <c r="P53" s="3" t="b">
        <v>0</v>
      </c>
      <c r="Q53" s="3" t="b">
        <v>0</v>
      </c>
      <c r="R53" s="3" t="b">
        <v>0</v>
      </c>
      <c r="S53" s="3" t="b">
        <v>0</v>
      </c>
      <c r="T53">
        <v>2339</v>
      </c>
      <c r="U53">
        <v>85311</v>
      </c>
      <c r="V53">
        <v>1</v>
      </c>
      <c r="W53">
        <v>7366</v>
      </c>
      <c r="X53">
        <v>7365</v>
      </c>
    </row>
    <row r="54" spans="1:24" x14ac:dyDescent="0.2">
      <c r="A54" t="s">
        <v>316</v>
      </c>
      <c r="B54" t="s">
        <v>58</v>
      </c>
      <c r="C54" t="s">
        <v>229</v>
      </c>
      <c r="G54" t="s">
        <v>317</v>
      </c>
      <c r="H54" t="s">
        <v>318</v>
      </c>
      <c r="I54" t="s">
        <v>319</v>
      </c>
      <c r="J54" t="s">
        <v>320</v>
      </c>
      <c r="K54" s="3" t="b">
        <v>1</v>
      </c>
      <c r="L54" s="3" t="b">
        <v>0</v>
      </c>
      <c r="M54" s="3" t="b">
        <v>0</v>
      </c>
      <c r="N54" s="3" t="b">
        <v>1</v>
      </c>
      <c r="O54" s="3" t="b">
        <v>0</v>
      </c>
      <c r="P54" s="3" t="b">
        <v>0</v>
      </c>
      <c r="Q54" s="3" t="b">
        <v>0</v>
      </c>
      <c r="R54" s="3" t="b">
        <v>0</v>
      </c>
      <c r="S54" s="3" t="b">
        <v>0</v>
      </c>
      <c r="T54">
        <v>1463</v>
      </c>
      <c r="U54">
        <v>55589</v>
      </c>
      <c r="V54">
        <v>1</v>
      </c>
      <c r="W54">
        <v>4571</v>
      </c>
      <c r="X54">
        <v>4570</v>
      </c>
    </row>
    <row r="55" spans="1:24" x14ac:dyDescent="0.2">
      <c r="A55" t="s">
        <v>321</v>
      </c>
      <c r="B55" t="s">
        <v>58</v>
      </c>
      <c r="C55" t="s">
        <v>322</v>
      </c>
      <c r="G55" t="s">
        <v>323</v>
      </c>
      <c r="H55" t="s">
        <v>324</v>
      </c>
      <c r="I55" t="s">
        <v>325</v>
      </c>
      <c r="J55" t="s">
        <v>29</v>
      </c>
      <c r="K55" s="3" t="b">
        <v>1</v>
      </c>
      <c r="L55" s="3" t="b">
        <v>1</v>
      </c>
      <c r="M55" s="3" t="b">
        <v>0</v>
      </c>
      <c r="N55" s="3" t="b">
        <v>1</v>
      </c>
      <c r="O55" s="3" t="b">
        <v>1</v>
      </c>
      <c r="P55" s="3" t="b">
        <v>0</v>
      </c>
      <c r="Q55" s="3" t="b">
        <v>0</v>
      </c>
      <c r="R55" s="3" t="b">
        <v>0</v>
      </c>
      <c r="S55" s="3" t="b">
        <v>0</v>
      </c>
      <c r="T55">
        <v>301</v>
      </c>
      <c r="U55">
        <v>13815</v>
      </c>
      <c r="V55">
        <v>7</v>
      </c>
      <c r="W55">
        <v>986</v>
      </c>
      <c r="X55">
        <v>984</v>
      </c>
    </row>
    <row r="56" spans="1:24" x14ac:dyDescent="0.2">
      <c r="A56" t="s">
        <v>326</v>
      </c>
      <c r="B56" t="s">
        <v>51</v>
      </c>
      <c r="C56" t="s">
        <v>115</v>
      </c>
      <c r="E56" t="s">
        <v>117</v>
      </c>
      <c r="G56" t="s">
        <v>118</v>
      </c>
      <c r="H56" t="s">
        <v>119</v>
      </c>
      <c r="I56" t="s">
        <v>113</v>
      </c>
      <c r="J56" t="s">
        <v>29</v>
      </c>
      <c r="K56" s="3" t="b">
        <v>1</v>
      </c>
      <c r="L56" s="3" t="b">
        <v>1</v>
      </c>
      <c r="M56" s="3" t="b">
        <v>1</v>
      </c>
      <c r="N56" s="3" t="b">
        <v>1</v>
      </c>
      <c r="O56" s="3" t="b">
        <v>1</v>
      </c>
      <c r="P56" s="3" t="b">
        <v>0</v>
      </c>
      <c r="Q56" s="3" t="b">
        <v>0</v>
      </c>
      <c r="R56" s="3" t="b">
        <v>0</v>
      </c>
      <c r="S56" s="3" t="b">
        <v>0</v>
      </c>
      <c r="T56">
        <v>3612</v>
      </c>
      <c r="U56">
        <v>149926</v>
      </c>
      <c r="V56">
        <v>1</v>
      </c>
      <c r="W56">
        <v>13078</v>
      </c>
      <c r="X56">
        <v>13077</v>
      </c>
    </row>
    <row r="57" spans="1:24" x14ac:dyDescent="0.2">
      <c r="A57" t="s">
        <v>327</v>
      </c>
      <c r="B57" t="s">
        <v>24</v>
      </c>
      <c r="C57" t="s">
        <v>328</v>
      </c>
      <c r="G57" t="s">
        <v>329</v>
      </c>
      <c r="H57" t="s">
        <v>330</v>
      </c>
      <c r="I57" t="s">
        <v>331</v>
      </c>
      <c r="J57" t="s">
        <v>29</v>
      </c>
      <c r="K57" s="3" t="b">
        <v>1</v>
      </c>
      <c r="L57" s="3" t="b">
        <v>1</v>
      </c>
      <c r="M57" s="3" t="b">
        <v>0</v>
      </c>
      <c r="N57" s="3" t="b">
        <v>1</v>
      </c>
      <c r="O57" s="3" t="b">
        <v>1</v>
      </c>
      <c r="P57" s="3" t="b">
        <v>0</v>
      </c>
      <c r="Q57" s="3" t="b">
        <v>0</v>
      </c>
      <c r="R57" s="3" t="b">
        <v>0</v>
      </c>
      <c r="S57" s="3" t="b">
        <v>0</v>
      </c>
      <c r="T57">
        <v>41</v>
      </c>
      <c r="U57">
        <v>2403</v>
      </c>
      <c r="V57">
        <v>1</v>
      </c>
      <c r="W57">
        <v>145</v>
      </c>
      <c r="X57">
        <v>144</v>
      </c>
    </row>
    <row r="58" spans="1:24" x14ac:dyDescent="0.2">
      <c r="A58" t="s">
        <v>332</v>
      </c>
      <c r="B58" t="s">
        <v>31</v>
      </c>
      <c r="C58" t="s">
        <v>333</v>
      </c>
      <c r="D58" t="s">
        <v>334</v>
      </c>
      <c r="G58" t="s">
        <v>100</v>
      </c>
      <c r="H58" t="s">
        <v>101</v>
      </c>
      <c r="I58" t="s">
        <v>102</v>
      </c>
      <c r="J58" t="s">
        <v>91</v>
      </c>
      <c r="K58" s="3" t="b">
        <v>1</v>
      </c>
      <c r="L58" s="3" t="b">
        <v>1</v>
      </c>
      <c r="M58" s="3" t="b">
        <v>0</v>
      </c>
      <c r="N58" s="3" t="b">
        <v>1</v>
      </c>
      <c r="O58" s="3" t="b">
        <v>0</v>
      </c>
      <c r="P58" s="3" t="b">
        <v>0</v>
      </c>
      <c r="Q58" s="3" t="b">
        <v>0</v>
      </c>
      <c r="R58" s="3" t="b">
        <v>0</v>
      </c>
      <c r="S58" s="3" t="b">
        <v>0</v>
      </c>
      <c r="T58">
        <v>2265</v>
      </c>
      <c r="U58">
        <v>77688</v>
      </c>
      <c r="V58">
        <v>2</v>
      </c>
      <c r="W58">
        <v>7043</v>
      </c>
      <c r="X58">
        <v>7042</v>
      </c>
    </row>
    <row r="59" spans="1:24" x14ac:dyDescent="0.2">
      <c r="A59" t="s">
        <v>335</v>
      </c>
      <c r="B59" t="s">
        <v>24</v>
      </c>
      <c r="C59" t="s">
        <v>336</v>
      </c>
      <c r="D59" t="s">
        <v>337</v>
      </c>
      <c r="F59" t="s">
        <v>338</v>
      </c>
      <c r="G59" t="s">
        <v>111</v>
      </c>
      <c r="H59" t="s">
        <v>112</v>
      </c>
      <c r="I59" t="s">
        <v>113</v>
      </c>
      <c r="J59" t="s">
        <v>91</v>
      </c>
      <c r="K59" s="3" t="b">
        <v>1</v>
      </c>
      <c r="L59" s="3" t="b">
        <v>0</v>
      </c>
      <c r="M59" s="3" t="b">
        <v>0</v>
      </c>
      <c r="N59" s="3" t="b">
        <v>0</v>
      </c>
      <c r="O59" s="3" t="b">
        <v>0</v>
      </c>
      <c r="P59" s="3" t="b">
        <v>0</v>
      </c>
      <c r="Q59" s="3" t="b">
        <v>0</v>
      </c>
      <c r="R59" s="3" t="b">
        <v>0</v>
      </c>
      <c r="S59" s="3" t="b">
        <v>0</v>
      </c>
      <c r="T59">
        <v>3612</v>
      </c>
      <c r="U59">
        <v>149926</v>
      </c>
      <c r="V59">
        <v>1</v>
      </c>
      <c r="W59">
        <v>13078</v>
      </c>
      <c r="X59">
        <v>13077</v>
      </c>
    </row>
    <row r="60" spans="1:24" x14ac:dyDescent="0.2">
      <c r="A60" t="s">
        <v>339</v>
      </c>
      <c r="B60" t="s">
        <v>58</v>
      </c>
      <c r="C60" t="s">
        <v>340</v>
      </c>
      <c r="D60" t="s">
        <v>341</v>
      </c>
      <c r="G60" t="s">
        <v>342</v>
      </c>
      <c r="H60" t="s">
        <v>343</v>
      </c>
      <c r="I60" t="s">
        <v>344</v>
      </c>
      <c r="J60" t="s">
        <v>91</v>
      </c>
      <c r="K60" s="3" t="b">
        <v>1</v>
      </c>
      <c r="L60" s="3" t="b">
        <v>1</v>
      </c>
      <c r="M60" s="3" t="b">
        <v>1</v>
      </c>
      <c r="N60" s="3" t="b">
        <v>1</v>
      </c>
      <c r="O60" s="3" t="b">
        <v>1</v>
      </c>
      <c r="P60" s="3" t="b">
        <v>1</v>
      </c>
      <c r="Q60" s="3" t="b">
        <v>0</v>
      </c>
      <c r="R60" s="3" t="b">
        <v>0</v>
      </c>
      <c r="S60" s="3" t="b">
        <v>1</v>
      </c>
      <c r="T60">
        <v>1373</v>
      </c>
      <c r="U60">
        <v>53462</v>
      </c>
      <c r="V60">
        <v>1</v>
      </c>
      <c r="W60">
        <v>4379</v>
      </c>
      <c r="X60">
        <v>4378</v>
      </c>
    </row>
    <row r="61" spans="1:24" x14ac:dyDescent="0.2">
      <c r="A61" t="s">
        <v>345</v>
      </c>
      <c r="B61" t="s">
        <v>58</v>
      </c>
      <c r="C61" t="s">
        <v>346</v>
      </c>
      <c r="D61" t="s">
        <v>347</v>
      </c>
      <c r="G61" t="s">
        <v>348</v>
      </c>
      <c r="H61" t="s">
        <v>349</v>
      </c>
      <c r="I61" t="s">
        <v>350</v>
      </c>
      <c r="J61" t="s">
        <v>91</v>
      </c>
      <c r="K61" s="3" t="b">
        <v>1</v>
      </c>
      <c r="L61" s="3" t="b">
        <v>0</v>
      </c>
      <c r="M61" s="3" t="b">
        <v>0</v>
      </c>
      <c r="N61" s="3" t="b">
        <v>0</v>
      </c>
      <c r="O61" s="3" t="b">
        <v>0</v>
      </c>
      <c r="P61" s="3" t="b">
        <v>0</v>
      </c>
      <c r="Q61" s="3" t="b">
        <v>0</v>
      </c>
      <c r="R61" s="3" t="b">
        <v>0</v>
      </c>
      <c r="S61" s="3" t="b">
        <v>0</v>
      </c>
      <c r="T61">
        <v>4391</v>
      </c>
      <c r="U61">
        <v>272610</v>
      </c>
      <c r="V61">
        <v>1</v>
      </c>
      <c r="W61">
        <v>15506</v>
      </c>
      <c r="X61">
        <v>15505</v>
      </c>
    </row>
    <row r="62" spans="1:24" x14ac:dyDescent="0.2">
      <c r="A62" t="s">
        <v>351</v>
      </c>
      <c r="B62" t="s">
        <v>31</v>
      </c>
      <c r="C62" t="s">
        <v>297</v>
      </c>
      <c r="D62" t="s">
        <v>352</v>
      </c>
      <c r="G62" t="s">
        <v>353</v>
      </c>
      <c r="H62" t="s">
        <v>354</v>
      </c>
      <c r="I62" t="s">
        <v>355</v>
      </c>
      <c r="J62" t="s">
        <v>29</v>
      </c>
      <c r="K62" s="3" t="b">
        <v>1</v>
      </c>
      <c r="L62" s="3" t="b">
        <v>0</v>
      </c>
      <c r="M62" s="3" t="b">
        <v>0</v>
      </c>
      <c r="N62" s="3" t="b">
        <v>0</v>
      </c>
      <c r="O62" s="3" t="b">
        <v>0</v>
      </c>
      <c r="P62" s="3" t="b">
        <v>0</v>
      </c>
      <c r="Q62" s="3" t="b">
        <v>0</v>
      </c>
      <c r="R62" s="3" t="b">
        <v>0</v>
      </c>
      <c r="S62" s="3" t="b">
        <v>0</v>
      </c>
      <c r="T62">
        <v>2840</v>
      </c>
      <c r="U62">
        <v>97616</v>
      </c>
      <c r="V62">
        <v>1</v>
      </c>
      <c r="W62">
        <v>8469</v>
      </c>
      <c r="X62">
        <v>8468</v>
      </c>
    </row>
    <row r="63" spans="1:24" x14ac:dyDescent="0.2">
      <c r="A63" t="s">
        <v>356</v>
      </c>
      <c r="B63" t="s">
        <v>58</v>
      </c>
      <c r="C63" t="s">
        <v>357</v>
      </c>
      <c r="G63" t="s">
        <v>82</v>
      </c>
      <c r="H63" t="s">
        <v>83</v>
      </c>
      <c r="I63" t="s">
        <v>84</v>
      </c>
      <c r="J63" t="s">
        <v>85</v>
      </c>
      <c r="K63" s="3" t="b">
        <v>1</v>
      </c>
      <c r="L63" s="3" t="b">
        <v>0</v>
      </c>
      <c r="M63" s="3" t="b">
        <v>0</v>
      </c>
      <c r="N63" s="3" t="b">
        <v>0</v>
      </c>
      <c r="O63" s="3" t="b">
        <v>0</v>
      </c>
      <c r="P63" s="3" t="b">
        <v>0</v>
      </c>
      <c r="Q63" s="3" t="b">
        <v>0</v>
      </c>
      <c r="R63" s="3" t="b">
        <v>0</v>
      </c>
      <c r="S63" s="3" t="b">
        <v>0</v>
      </c>
      <c r="T63">
        <v>2994</v>
      </c>
      <c r="U63">
        <v>100900</v>
      </c>
      <c r="V63">
        <v>2</v>
      </c>
      <c r="W63">
        <v>8798</v>
      </c>
      <c r="X63">
        <v>8779</v>
      </c>
    </row>
    <row r="64" spans="1:24" x14ac:dyDescent="0.2">
      <c r="A64" t="s">
        <v>358</v>
      </c>
      <c r="B64" t="s">
        <v>58</v>
      </c>
      <c r="C64" t="s">
        <v>359</v>
      </c>
      <c r="G64" t="s">
        <v>360</v>
      </c>
      <c r="H64" t="s">
        <v>361</v>
      </c>
      <c r="I64" t="s">
        <v>362</v>
      </c>
      <c r="J64" t="s">
        <v>29</v>
      </c>
      <c r="K64" s="3" t="b">
        <v>1</v>
      </c>
      <c r="L64" s="3" t="b">
        <v>0</v>
      </c>
      <c r="M64" s="3" t="b">
        <v>0</v>
      </c>
      <c r="N64" s="3" t="b">
        <v>0</v>
      </c>
      <c r="O64" s="3" t="b">
        <v>0</v>
      </c>
      <c r="P64" s="3" t="b">
        <v>0</v>
      </c>
      <c r="Q64" s="3" t="b">
        <v>0</v>
      </c>
      <c r="R64" s="3" t="b">
        <v>0</v>
      </c>
      <c r="S64" s="3" t="b">
        <v>0</v>
      </c>
      <c r="T64">
        <v>1139</v>
      </c>
      <c r="U64">
        <v>41254</v>
      </c>
      <c r="V64">
        <v>1</v>
      </c>
      <c r="W64">
        <v>3068</v>
      </c>
      <c r="X64">
        <v>3067</v>
      </c>
    </row>
    <row r="65" spans="1:24" ht="18" customHeight="1" x14ac:dyDescent="0.2">
      <c r="A65" t="s">
        <v>363</v>
      </c>
      <c r="B65" t="s">
        <v>51</v>
      </c>
      <c r="C65" t="s">
        <v>364</v>
      </c>
      <c r="D65" t="s">
        <v>365</v>
      </c>
      <c r="E65" t="s">
        <v>366</v>
      </c>
      <c r="G65" t="s">
        <v>367</v>
      </c>
      <c r="H65" t="s">
        <v>368</v>
      </c>
      <c r="I65" t="s">
        <v>369</v>
      </c>
      <c r="J65" t="s">
        <v>91</v>
      </c>
      <c r="K65" s="3" t="b">
        <v>1</v>
      </c>
      <c r="L65" s="3" t="b">
        <v>1</v>
      </c>
      <c r="M65" s="3" t="b">
        <v>1</v>
      </c>
      <c r="N65" s="3" t="b">
        <v>1</v>
      </c>
      <c r="O65" s="3" t="b">
        <v>1</v>
      </c>
      <c r="P65" s="3" t="b">
        <v>0</v>
      </c>
      <c r="Q65" s="3" t="b">
        <v>0</v>
      </c>
      <c r="R65" s="3" t="b">
        <v>0</v>
      </c>
      <c r="S65" s="3" t="b">
        <v>1</v>
      </c>
      <c r="T65">
        <v>2740</v>
      </c>
      <c r="U65">
        <v>96297</v>
      </c>
      <c r="V65">
        <v>1</v>
      </c>
      <c r="W65">
        <v>8105</v>
      </c>
      <c r="X65">
        <v>8104</v>
      </c>
    </row>
    <row r="66" spans="1:24" x14ac:dyDescent="0.2">
      <c r="A66" t="s">
        <v>370</v>
      </c>
      <c r="B66" t="s">
        <v>24</v>
      </c>
      <c r="C66" t="s">
        <v>371</v>
      </c>
      <c r="G66" t="s">
        <v>372</v>
      </c>
      <c r="H66" t="s">
        <v>373</v>
      </c>
      <c r="I66" t="s">
        <v>156</v>
      </c>
      <c r="J66" t="s">
        <v>29</v>
      </c>
      <c r="K66" s="3" t="b">
        <v>1</v>
      </c>
      <c r="L66" s="3" t="b">
        <v>1</v>
      </c>
      <c r="M66" s="3" t="b">
        <v>0</v>
      </c>
      <c r="N66" s="3" t="b">
        <v>1</v>
      </c>
      <c r="O66" s="3" t="b">
        <v>1</v>
      </c>
      <c r="P66" s="3" t="b">
        <v>0</v>
      </c>
      <c r="Q66" s="3" t="b">
        <v>0</v>
      </c>
      <c r="R66" s="3" t="b">
        <v>0</v>
      </c>
      <c r="S66" s="3" t="b">
        <v>0</v>
      </c>
      <c r="T66">
        <v>40</v>
      </c>
      <c r="U66">
        <v>2403</v>
      </c>
      <c r="V66">
        <v>1</v>
      </c>
      <c r="W66">
        <v>146</v>
      </c>
      <c r="X66">
        <v>145</v>
      </c>
    </row>
    <row r="67" spans="1:24" x14ac:dyDescent="0.2">
      <c r="A67" t="s">
        <v>374</v>
      </c>
      <c r="B67" t="s">
        <v>31</v>
      </c>
      <c r="C67" t="s">
        <v>375</v>
      </c>
      <c r="D67" t="s">
        <v>376</v>
      </c>
      <c r="G67" t="s">
        <v>377</v>
      </c>
      <c r="H67" t="s">
        <v>378</v>
      </c>
      <c r="I67" t="s">
        <v>379</v>
      </c>
      <c r="J67" t="s">
        <v>91</v>
      </c>
      <c r="K67" s="3" t="b">
        <v>1</v>
      </c>
      <c r="L67" s="3" t="b">
        <v>1</v>
      </c>
      <c r="M67" s="3" t="b">
        <v>1</v>
      </c>
      <c r="N67" s="3" t="b">
        <v>1</v>
      </c>
      <c r="O67" s="3" t="b">
        <v>1</v>
      </c>
      <c r="P67" s="3" t="b">
        <v>0</v>
      </c>
      <c r="Q67" s="3" t="b">
        <v>0</v>
      </c>
      <c r="R67" s="3" t="b">
        <v>0</v>
      </c>
      <c r="S67" s="3" t="b">
        <v>1</v>
      </c>
      <c r="T67">
        <v>3308</v>
      </c>
      <c r="U67">
        <v>110330</v>
      </c>
      <c r="V67">
        <v>1</v>
      </c>
      <c r="W67">
        <v>11235</v>
      </c>
      <c r="X67">
        <v>11233</v>
      </c>
    </row>
    <row r="68" spans="1:24" x14ac:dyDescent="0.2">
      <c r="A68" t="s">
        <v>380</v>
      </c>
      <c r="B68" t="s">
        <v>24</v>
      </c>
      <c r="C68" t="s">
        <v>381</v>
      </c>
      <c r="D68" t="s">
        <v>382</v>
      </c>
      <c r="F68" t="s">
        <v>383</v>
      </c>
      <c r="G68" t="s">
        <v>384</v>
      </c>
      <c r="H68" t="s">
        <v>385</v>
      </c>
      <c r="I68" t="s">
        <v>386</v>
      </c>
      <c r="J68" t="s">
        <v>91</v>
      </c>
      <c r="K68" s="3" t="b">
        <v>1</v>
      </c>
      <c r="L68" s="3" t="b">
        <v>1</v>
      </c>
      <c r="M68" s="3" t="b">
        <v>1</v>
      </c>
      <c r="N68" s="3" t="b">
        <v>1</v>
      </c>
      <c r="O68" s="3" t="b">
        <v>1</v>
      </c>
      <c r="P68" s="3">
        <v>2</v>
      </c>
      <c r="Q68" s="3" t="b">
        <v>0</v>
      </c>
      <c r="R68" s="3" t="b">
        <v>0</v>
      </c>
      <c r="S68" s="3" t="b">
        <v>1</v>
      </c>
      <c r="T68">
        <v>2878</v>
      </c>
      <c r="U68">
        <v>97877</v>
      </c>
      <c r="V68">
        <v>1</v>
      </c>
      <c r="W68">
        <v>8499</v>
      </c>
      <c r="X68">
        <v>8498</v>
      </c>
    </row>
    <row r="69" spans="1:24" x14ac:dyDescent="0.2">
      <c r="A69" t="s">
        <v>387</v>
      </c>
      <c r="B69" t="s">
        <v>58</v>
      </c>
      <c r="C69" t="s">
        <v>388</v>
      </c>
      <c r="G69" t="s">
        <v>389</v>
      </c>
      <c r="H69" t="s">
        <v>390</v>
      </c>
      <c r="I69" t="s">
        <v>391</v>
      </c>
      <c r="J69" t="s">
        <v>392</v>
      </c>
      <c r="K69" s="3" t="b">
        <v>1</v>
      </c>
      <c r="L69" s="3" t="b">
        <v>1</v>
      </c>
      <c r="M69" s="3" t="b">
        <v>0</v>
      </c>
      <c r="N69" s="3" t="b">
        <v>0</v>
      </c>
      <c r="O69" s="3" t="b">
        <v>1</v>
      </c>
      <c r="P69" s="3" t="b">
        <v>0</v>
      </c>
      <c r="Q69" s="3" t="b">
        <v>0</v>
      </c>
      <c r="R69" s="3" t="b">
        <v>0</v>
      </c>
      <c r="S69" s="3" t="b">
        <v>1</v>
      </c>
      <c r="T69">
        <v>1675</v>
      </c>
      <c r="U69">
        <v>56906</v>
      </c>
      <c r="V69">
        <v>1</v>
      </c>
      <c r="W69">
        <v>4983</v>
      </c>
      <c r="X69">
        <v>4982</v>
      </c>
    </row>
    <row r="70" spans="1:24" x14ac:dyDescent="0.2">
      <c r="A70" t="s">
        <v>393</v>
      </c>
      <c r="B70" t="s">
        <v>24</v>
      </c>
      <c r="C70" t="s">
        <v>394</v>
      </c>
      <c r="G70" t="s">
        <v>395</v>
      </c>
      <c r="H70" t="s">
        <v>396</v>
      </c>
      <c r="I70" t="s">
        <v>397</v>
      </c>
      <c r="J70" t="s">
        <v>63</v>
      </c>
      <c r="K70" s="3" t="b">
        <v>1</v>
      </c>
      <c r="L70" s="3" t="b">
        <v>0</v>
      </c>
      <c r="M70" s="3" t="b">
        <v>0</v>
      </c>
      <c r="N70" s="3" t="b">
        <v>0</v>
      </c>
      <c r="O70" s="3" t="b">
        <v>0</v>
      </c>
      <c r="P70" s="3" t="b">
        <v>0</v>
      </c>
      <c r="Q70" s="3" t="b">
        <v>0</v>
      </c>
      <c r="R70" s="3" t="b">
        <v>0</v>
      </c>
      <c r="S70" s="3" t="b">
        <v>0</v>
      </c>
      <c r="T70">
        <v>2972</v>
      </c>
      <c r="U70">
        <v>100900</v>
      </c>
      <c r="V70">
        <v>2</v>
      </c>
      <c r="W70">
        <v>8824</v>
      </c>
      <c r="X70">
        <v>8823</v>
      </c>
    </row>
    <row r="71" spans="1:24" x14ac:dyDescent="0.2">
      <c r="A71" t="s">
        <v>398</v>
      </c>
      <c r="B71" t="s">
        <v>51</v>
      </c>
      <c r="C71" t="s">
        <v>399</v>
      </c>
      <c r="E71" t="s">
        <v>400</v>
      </c>
      <c r="G71" t="s">
        <v>401</v>
      </c>
      <c r="H71" t="s">
        <v>402</v>
      </c>
      <c r="I71" t="s">
        <v>403</v>
      </c>
      <c r="J71" t="s">
        <v>29</v>
      </c>
      <c r="K71" s="3" t="b">
        <v>1</v>
      </c>
      <c r="L71" s="3" t="b">
        <v>1</v>
      </c>
      <c r="M71" s="3" t="b">
        <v>0</v>
      </c>
      <c r="N71" s="3" t="b">
        <v>1</v>
      </c>
      <c r="O71" s="3" t="b">
        <v>0</v>
      </c>
      <c r="P71" s="3" t="b">
        <v>0</v>
      </c>
      <c r="Q71" s="3" t="b">
        <v>0</v>
      </c>
      <c r="R71" s="3" t="b">
        <v>0</v>
      </c>
      <c r="S71" s="3" t="b">
        <v>0</v>
      </c>
      <c r="T71">
        <v>3747</v>
      </c>
      <c r="U71">
        <v>163227</v>
      </c>
      <c r="V71">
        <v>1</v>
      </c>
      <c r="W71">
        <v>13359</v>
      </c>
      <c r="X71">
        <v>13358</v>
      </c>
    </row>
    <row r="72" spans="1:24" x14ac:dyDescent="0.2">
      <c r="A72" t="s">
        <v>404</v>
      </c>
      <c r="B72" t="s">
        <v>58</v>
      </c>
      <c r="C72" t="s">
        <v>405</v>
      </c>
      <c r="G72" t="s">
        <v>406</v>
      </c>
      <c r="H72" t="s">
        <v>407</v>
      </c>
      <c r="I72" t="s">
        <v>408</v>
      </c>
      <c r="J72" t="s">
        <v>29</v>
      </c>
      <c r="K72" s="3" t="b">
        <v>1</v>
      </c>
      <c r="L72" s="3" t="b">
        <v>1</v>
      </c>
      <c r="M72" s="3" t="b">
        <v>0</v>
      </c>
      <c r="N72" s="3" t="b">
        <v>1</v>
      </c>
      <c r="O72" s="3" t="b">
        <v>0</v>
      </c>
      <c r="P72" s="3" t="b">
        <v>0</v>
      </c>
      <c r="Q72" s="3" t="b">
        <v>0</v>
      </c>
      <c r="R72" s="3" t="b">
        <v>0</v>
      </c>
      <c r="S72" s="3" t="b">
        <v>0</v>
      </c>
      <c r="T72">
        <v>439</v>
      </c>
      <c r="U72">
        <v>17600</v>
      </c>
      <c r="V72">
        <v>1</v>
      </c>
      <c r="W72">
        <v>1524</v>
      </c>
      <c r="X72">
        <v>1522</v>
      </c>
    </row>
    <row r="73" spans="1:24" x14ac:dyDescent="0.2">
      <c r="A73" t="s">
        <v>409</v>
      </c>
      <c r="B73" t="s">
        <v>31</v>
      </c>
      <c r="C73" t="s">
        <v>410</v>
      </c>
      <c r="D73">
        <f>2025.2</f>
        <v>2025.2</v>
      </c>
      <c r="G73" t="s">
        <v>411</v>
      </c>
      <c r="H73" t="s">
        <v>412</v>
      </c>
      <c r="I73" t="s">
        <v>413</v>
      </c>
      <c r="J73" t="s">
        <v>29</v>
      </c>
      <c r="K73" s="3" t="b">
        <v>1</v>
      </c>
      <c r="L73" s="3" t="b">
        <v>1</v>
      </c>
      <c r="M73" s="3" t="b">
        <v>0</v>
      </c>
      <c r="N73" s="3" t="b">
        <v>1</v>
      </c>
      <c r="O73" s="3" t="b">
        <v>0</v>
      </c>
      <c r="P73" s="3" t="b">
        <v>0</v>
      </c>
      <c r="Q73" s="3" t="b">
        <v>0</v>
      </c>
      <c r="R73" s="3" t="b">
        <v>0</v>
      </c>
      <c r="S73" s="3" t="b">
        <v>0</v>
      </c>
      <c r="T73">
        <v>3382</v>
      </c>
      <c r="U73">
        <v>115210</v>
      </c>
      <c r="V73">
        <v>1</v>
      </c>
      <c r="W73">
        <v>11926</v>
      </c>
      <c r="X73">
        <v>11925</v>
      </c>
    </row>
    <row r="74" spans="1:24" x14ac:dyDescent="0.2">
      <c r="A74" t="s">
        <v>414</v>
      </c>
      <c r="B74" t="s">
        <v>31</v>
      </c>
      <c r="C74" t="s">
        <v>415</v>
      </c>
      <c r="G74" t="s">
        <v>416</v>
      </c>
      <c r="H74" t="s">
        <v>417</v>
      </c>
      <c r="I74" t="s">
        <v>418</v>
      </c>
      <c r="J74" t="s">
        <v>29</v>
      </c>
      <c r="K74" s="3" t="b">
        <v>1</v>
      </c>
      <c r="L74" s="3" t="b">
        <v>1</v>
      </c>
      <c r="M74" s="3" t="b">
        <v>0</v>
      </c>
      <c r="N74" s="3" t="b">
        <v>1</v>
      </c>
      <c r="O74" s="3" t="b">
        <v>1</v>
      </c>
      <c r="P74" s="3" t="b">
        <v>0</v>
      </c>
      <c r="Q74" s="3" t="b">
        <v>0</v>
      </c>
      <c r="R74" s="3" t="b">
        <v>0</v>
      </c>
      <c r="S74" s="3" t="b">
        <v>0</v>
      </c>
      <c r="T74">
        <v>1881</v>
      </c>
      <c r="U74">
        <v>64011</v>
      </c>
      <c r="V74">
        <v>1</v>
      </c>
      <c r="W74">
        <v>5892</v>
      </c>
      <c r="X74">
        <v>5890</v>
      </c>
    </row>
    <row r="75" spans="1:24" x14ac:dyDescent="0.2">
      <c r="A75" t="s">
        <v>419</v>
      </c>
      <c r="B75" t="s">
        <v>24</v>
      </c>
      <c r="C75" t="s">
        <v>229</v>
      </c>
      <c r="D75" t="s">
        <v>420</v>
      </c>
      <c r="F75" t="s">
        <v>146</v>
      </c>
      <c r="G75" t="s">
        <v>421</v>
      </c>
      <c r="H75" t="s">
        <v>422</v>
      </c>
      <c r="I75" t="s">
        <v>423</v>
      </c>
      <c r="J75" t="s">
        <v>29</v>
      </c>
      <c r="K75" s="3" t="b">
        <v>1</v>
      </c>
      <c r="L75" s="3" t="b">
        <v>1</v>
      </c>
      <c r="M75" s="3" t="b">
        <v>0</v>
      </c>
      <c r="N75" s="3" t="b">
        <v>1</v>
      </c>
      <c r="O75" s="3" t="b">
        <v>0</v>
      </c>
      <c r="P75" s="3" t="b">
        <v>0</v>
      </c>
      <c r="Q75" s="3" t="b">
        <v>0</v>
      </c>
      <c r="R75" s="3" t="b">
        <v>0</v>
      </c>
      <c r="S75" s="3" t="b">
        <v>0</v>
      </c>
      <c r="T75">
        <v>2282</v>
      </c>
      <c r="U75">
        <v>82290</v>
      </c>
      <c r="V75">
        <v>1</v>
      </c>
      <c r="W75">
        <v>7239</v>
      </c>
      <c r="X75">
        <v>7238</v>
      </c>
    </row>
    <row r="76" spans="1:24" x14ac:dyDescent="0.2">
      <c r="A76" t="s">
        <v>424</v>
      </c>
      <c r="B76" t="s">
        <v>58</v>
      </c>
      <c r="C76" t="s">
        <v>425</v>
      </c>
      <c r="G76" t="s">
        <v>426</v>
      </c>
      <c r="H76" t="s">
        <v>427</v>
      </c>
      <c r="I76" t="s">
        <v>428</v>
      </c>
      <c r="J76" t="s">
        <v>429</v>
      </c>
      <c r="K76" s="3" t="b">
        <v>1</v>
      </c>
      <c r="L76" s="3" t="b">
        <v>0</v>
      </c>
      <c r="M76" s="3" t="b">
        <v>0</v>
      </c>
      <c r="N76" s="3" t="b">
        <v>0</v>
      </c>
      <c r="O76" s="3" t="b">
        <v>0</v>
      </c>
      <c r="P76" s="3" t="b">
        <v>0</v>
      </c>
      <c r="Q76" s="3" t="b">
        <v>0</v>
      </c>
      <c r="R76" s="3" t="b">
        <v>0</v>
      </c>
      <c r="S76" s="3" t="b">
        <v>0</v>
      </c>
      <c r="T76">
        <v>1676</v>
      </c>
      <c r="U76">
        <v>56906</v>
      </c>
      <c r="V76">
        <v>1</v>
      </c>
      <c r="W76">
        <v>4982</v>
      </c>
      <c r="X76">
        <v>4981</v>
      </c>
    </row>
    <row r="77" spans="1:24" x14ac:dyDescent="0.2">
      <c r="A77" t="s">
        <v>430</v>
      </c>
      <c r="B77" t="s">
        <v>58</v>
      </c>
      <c r="C77" t="s">
        <v>431</v>
      </c>
      <c r="D77" t="s">
        <v>432</v>
      </c>
      <c r="G77" t="s">
        <v>433</v>
      </c>
      <c r="H77" t="s">
        <v>434</v>
      </c>
      <c r="I77" t="s">
        <v>435</v>
      </c>
      <c r="J77" t="s">
        <v>29</v>
      </c>
      <c r="K77" s="3" t="b">
        <v>1</v>
      </c>
      <c r="L77" s="3" t="b">
        <v>0</v>
      </c>
      <c r="M77" s="3" t="b">
        <v>0</v>
      </c>
      <c r="N77" s="3" t="b">
        <v>0</v>
      </c>
      <c r="O77" s="3" t="b">
        <v>0</v>
      </c>
      <c r="P77" s="3" t="b">
        <v>0</v>
      </c>
      <c r="Q77" s="3" t="b">
        <v>0</v>
      </c>
      <c r="R77" s="3" t="b">
        <v>0</v>
      </c>
      <c r="S77" s="3" t="b">
        <v>0</v>
      </c>
      <c r="T77">
        <v>3350</v>
      </c>
      <c r="U77">
        <v>114400</v>
      </c>
      <c r="V77">
        <v>1</v>
      </c>
      <c r="W77">
        <v>11901</v>
      </c>
      <c r="X77">
        <v>11900</v>
      </c>
    </row>
    <row r="78" spans="1:24" x14ac:dyDescent="0.2">
      <c r="A78" t="s">
        <v>436</v>
      </c>
      <c r="B78" t="s">
        <v>31</v>
      </c>
      <c r="C78" t="s">
        <v>437</v>
      </c>
      <c r="G78" t="s">
        <v>438</v>
      </c>
      <c r="H78" t="s">
        <v>439</v>
      </c>
      <c r="I78" t="s">
        <v>440</v>
      </c>
      <c r="J78" t="s">
        <v>29</v>
      </c>
      <c r="K78" s="3" t="b">
        <v>1</v>
      </c>
      <c r="L78" s="3" t="b">
        <v>1</v>
      </c>
      <c r="M78" s="3" t="b">
        <v>0</v>
      </c>
      <c r="N78" s="3" t="b">
        <v>1</v>
      </c>
      <c r="O78" s="3" t="b">
        <v>0</v>
      </c>
      <c r="P78" s="3" t="b">
        <v>0</v>
      </c>
      <c r="Q78" s="3" t="b">
        <v>0</v>
      </c>
      <c r="R78" s="3" t="b">
        <v>0</v>
      </c>
      <c r="S78" s="3" t="b">
        <v>0</v>
      </c>
      <c r="T78">
        <v>1045</v>
      </c>
      <c r="U78">
        <v>37457</v>
      </c>
      <c r="V78">
        <v>1</v>
      </c>
      <c r="W78">
        <v>2830</v>
      </c>
      <c r="X78">
        <v>2826</v>
      </c>
    </row>
    <row r="79" spans="1:24" x14ac:dyDescent="0.2">
      <c r="A79" t="s">
        <v>441</v>
      </c>
      <c r="B79" t="s">
        <v>58</v>
      </c>
      <c r="C79" t="s">
        <v>442</v>
      </c>
      <c r="G79" t="s">
        <v>353</v>
      </c>
      <c r="H79" t="s">
        <v>354</v>
      </c>
      <c r="I79" t="s">
        <v>355</v>
      </c>
      <c r="J79" t="s">
        <v>29</v>
      </c>
      <c r="K79" s="3" t="b">
        <v>1</v>
      </c>
      <c r="L79" s="3" t="b">
        <v>0</v>
      </c>
      <c r="M79" s="3" t="b">
        <v>0</v>
      </c>
      <c r="N79" s="3" t="b">
        <v>0</v>
      </c>
      <c r="O79" s="3" t="b">
        <v>0</v>
      </c>
      <c r="P79" s="3" t="b">
        <v>0</v>
      </c>
      <c r="Q79" s="3" t="b">
        <v>0</v>
      </c>
      <c r="R79" s="3" t="b">
        <v>0</v>
      </c>
      <c r="S79" s="3" t="b">
        <v>0</v>
      </c>
      <c r="T79">
        <v>2840</v>
      </c>
      <c r="U79">
        <v>97616</v>
      </c>
      <c r="V79">
        <v>1</v>
      </c>
      <c r="W79">
        <v>8469</v>
      </c>
      <c r="X79">
        <v>8468</v>
      </c>
    </row>
    <row r="80" spans="1:24" x14ac:dyDescent="0.2">
      <c r="A80" t="s">
        <v>443</v>
      </c>
      <c r="B80" t="s">
        <v>51</v>
      </c>
      <c r="C80" t="s">
        <v>444</v>
      </c>
      <c r="E80" t="s">
        <v>445</v>
      </c>
      <c r="G80" t="s">
        <v>446</v>
      </c>
      <c r="H80" t="s">
        <v>447</v>
      </c>
      <c r="I80" t="s">
        <v>448</v>
      </c>
      <c r="J80" t="s">
        <v>91</v>
      </c>
      <c r="K80" s="3" t="b">
        <v>1</v>
      </c>
      <c r="L80" s="3" t="b">
        <v>1</v>
      </c>
      <c r="M80" s="3" t="b">
        <v>0</v>
      </c>
      <c r="N80" s="3" t="b">
        <v>1</v>
      </c>
      <c r="O80" s="3" t="b">
        <v>0</v>
      </c>
      <c r="P80" s="3" t="b">
        <v>0</v>
      </c>
      <c r="Q80" s="3" t="b">
        <v>0</v>
      </c>
      <c r="R80" s="3" t="b">
        <v>0</v>
      </c>
      <c r="S80" s="3" t="b">
        <v>0</v>
      </c>
      <c r="T80">
        <v>1997</v>
      </c>
      <c r="U80">
        <v>68238</v>
      </c>
      <c r="V80">
        <v>1</v>
      </c>
      <c r="W80">
        <v>6181</v>
      </c>
      <c r="X80">
        <v>6180</v>
      </c>
    </row>
    <row r="81" spans="1:24" x14ac:dyDescent="0.2">
      <c r="A81" t="s">
        <v>449</v>
      </c>
      <c r="B81" t="s">
        <v>51</v>
      </c>
      <c r="C81" t="s">
        <v>445</v>
      </c>
      <c r="D81" t="s">
        <v>450</v>
      </c>
      <c r="E81" t="s">
        <v>451</v>
      </c>
      <c r="G81" t="s">
        <v>452</v>
      </c>
      <c r="H81" t="s">
        <v>453</v>
      </c>
      <c r="I81" t="s">
        <v>454</v>
      </c>
      <c r="J81" t="s">
        <v>91</v>
      </c>
      <c r="K81" s="3" t="b">
        <v>1</v>
      </c>
      <c r="L81" s="3" t="b">
        <v>1</v>
      </c>
      <c r="M81" s="3" t="b">
        <v>0</v>
      </c>
      <c r="N81" s="3" t="b">
        <v>1</v>
      </c>
      <c r="O81" s="3" t="b">
        <v>0</v>
      </c>
      <c r="P81" s="3" t="b">
        <v>0</v>
      </c>
      <c r="Q81" s="3" t="b">
        <v>0</v>
      </c>
      <c r="R81" s="3" t="b">
        <v>0</v>
      </c>
      <c r="S81" s="3" t="b">
        <v>0</v>
      </c>
      <c r="T81">
        <v>1998</v>
      </c>
      <c r="U81">
        <v>68238</v>
      </c>
      <c r="V81">
        <v>1</v>
      </c>
      <c r="W81">
        <v>6180</v>
      </c>
      <c r="X81">
        <v>6179</v>
      </c>
    </row>
    <row r="82" spans="1:24" x14ac:dyDescent="0.2">
      <c r="A82" t="s">
        <v>455</v>
      </c>
      <c r="B82" t="s">
        <v>58</v>
      </c>
      <c r="C82" t="s">
        <v>456</v>
      </c>
      <c r="G82" t="s">
        <v>457</v>
      </c>
      <c r="H82" t="s">
        <v>458</v>
      </c>
      <c r="I82" t="s">
        <v>459</v>
      </c>
      <c r="J82" t="s">
        <v>460</v>
      </c>
      <c r="K82" s="3" t="b">
        <v>1</v>
      </c>
      <c r="L82" s="3" t="b">
        <v>0</v>
      </c>
      <c r="M82" s="3" t="b">
        <v>0</v>
      </c>
      <c r="N82" s="3" t="b">
        <v>0</v>
      </c>
      <c r="O82" s="3" t="b">
        <v>0</v>
      </c>
      <c r="P82" s="3" t="b">
        <v>0</v>
      </c>
      <c r="Q82" s="3" t="b">
        <v>0</v>
      </c>
      <c r="R82" s="3" t="b">
        <v>0</v>
      </c>
      <c r="S82" s="3" t="b">
        <v>0</v>
      </c>
      <c r="T82">
        <v>466</v>
      </c>
      <c r="U82">
        <v>18376</v>
      </c>
      <c r="V82">
        <v>3</v>
      </c>
      <c r="W82">
        <v>1603</v>
      </c>
      <c r="X82">
        <v>1602</v>
      </c>
    </row>
    <row r="83" spans="1:24" x14ac:dyDescent="0.2">
      <c r="A83" t="s">
        <v>461</v>
      </c>
      <c r="B83" t="s">
        <v>51</v>
      </c>
      <c r="C83" t="s">
        <v>364</v>
      </c>
      <c r="E83" t="s">
        <v>366</v>
      </c>
      <c r="G83" t="s">
        <v>462</v>
      </c>
      <c r="H83" t="s">
        <v>463</v>
      </c>
      <c r="I83" t="s">
        <v>464</v>
      </c>
      <c r="J83" t="s">
        <v>465</v>
      </c>
      <c r="K83" s="3" t="b">
        <v>1</v>
      </c>
      <c r="L83" s="3" t="b">
        <v>1</v>
      </c>
      <c r="M83" s="3" t="b">
        <v>1</v>
      </c>
      <c r="N83" s="3" t="b">
        <v>1</v>
      </c>
      <c r="O83" s="3" t="b">
        <v>1</v>
      </c>
      <c r="P83" s="3" t="b">
        <v>1</v>
      </c>
      <c r="Q83" s="3" t="b">
        <v>0</v>
      </c>
      <c r="R83" s="3" t="b">
        <v>0</v>
      </c>
      <c r="S83" s="3" t="b">
        <v>1</v>
      </c>
      <c r="T83">
        <v>2237</v>
      </c>
      <c r="U83">
        <v>76664</v>
      </c>
      <c r="V83">
        <v>1</v>
      </c>
      <c r="W83">
        <v>6947</v>
      </c>
      <c r="X83">
        <v>6946</v>
      </c>
    </row>
    <row r="84" spans="1:24" x14ac:dyDescent="0.2">
      <c r="A84" t="s">
        <v>466</v>
      </c>
      <c r="B84" t="s">
        <v>58</v>
      </c>
      <c r="C84" t="s">
        <v>467</v>
      </c>
      <c r="D84" t="s">
        <v>468</v>
      </c>
      <c r="G84" t="s">
        <v>469</v>
      </c>
      <c r="H84" t="s">
        <v>470</v>
      </c>
      <c r="I84" t="s">
        <v>355</v>
      </c>
      <c r="J84" t="s">
        <v>29</v>
      </c>
      <c r="K84" s="3" t="b">
        <v>1</v>
      </c>
      <c r="L84" s="3" t="b">
        <v>1</v>
      </c>
      <c r="M84" s="3" t="b">
        <v>0</v>
      </c>
      <c r="N84" s="3" t="b">
        <v>1</v>
      </c>
      <c r="O84" s="3" t="b">
        <v>0</v>
      </c>
      <c r="P84" s="3" t="b">
        <v>0</v>
      </c>
      <c r="Q84" s="3" t="b">
        <v>0</v>
      </c>
      <c r="R84" s="3" t="b">
        <v>0</v>
      </c>
      <c r="S84" s="3" t="b">
        <v>0</v>
      </c>
      <c r="T84">
        <v>2840</v>
      </c>
      <c r="U84">
        <v>97616</v>
      </c>
      <c r="V84">
        <v>1</v>
      </c>
      <c r="W84">
        <v>8469</v>
      </c>
      <c r="X84">
        <v>8468</v>
      </c>
    </row>
    <row r="85" spans="1:24" x14ac:dyDescent="0.2">
      <c r="A85" t="s">
        <v>471</v>
      </c>
      <c r="B85" t="s">
        <v>58</v>
      </c>
      <c r="C85" t="s">
        <v>472</v>
      </c>
      <c r="D85" t="s">
        <v>473</v>
      </c>
      <c r="G85" t="s">
        <v>474</v>
      </c>
      <c r="H85" t="s">
        <v>475</v>
      </c>
      <c r="I85" t="s">
        <v>476</v>
      </c>
      <c r="J85" t="s">
        <v>91</v>
      </c>
      <c r="K85" s="3" t="b">
        <v>1</v>
      </c>
      <c r="L85" s="3" t="b">
        <v>1</v>
      </c>
      <c r="M85" s="3" t="b">
        <v>0</v>
      </c>
      <c r="N85" s="3" t="b">
        <v>1</v>
      </c>
      <c r="O85" s="3" t="b">
        <v>0</v>
      </c>
      <c r="P85" s="3" t="b">
        <v>0</v>
      </c>
      <c r="Q85" s="3" t="b">
        <v>0</v>
      </c>
      <c r="R85" s="3" t="b">
        <v>0</v>
      </c>
      <c r="S85" s="3" t="b">
        <v>0</v>
      </c>
      <c r="T85">
        <v>3322</v>
      </c>
      <c r="U85">
        <v>111122</v>
      </c>
      <c r="V85">
        <v>1</v>
      </c>
      <c r="W85">
        <v>11305</v>
      </c>
      <c r="X85">
        <v>11304</v>
      </c>
    </row>
    <row r="86" spans="1:24" ht="15" customHeight="1" x14ac:dyDescent="0.2">
      <c r="A86" t="s">
        <v>477</v>
      </c>
      <c r="B86" t="s">
        <v>58</v>
      </c>
      <c r="C86" t="s">
        <v>478</v>
      </c>
      <c r="G86" t="s">
        <v>479</v>
      </c>
      <c r="H86" t="s">
        <v>480</v>
      </c>
      <c r="I86" t="s">
        <v>481</v>
      </c>
      <c r="J86" t="s">
        <v>482</v>
      </c>
      <c r="K86" s="3" t="b">
        <v>1</v>
      </c>
      <c r="L86" s="3" t="b">
        <v>1</v>
      </c>
      <c r="M86" s="3" t="b">
        <v>1</v>
      </c>
      <c r="N86" s="3" t="b">
        <v>1</v>
      </c>
      <c r="O86" s="3" t="b">
        <v>1</v>
      </c>
      <c r="P86" s="3" t="b">
        <v>0</v>
      </c>
      <c r="Q86" s="3" t="b">
        <v>0</v>
      </c>
      <c r="R86" s="3" t="b">
        <v>0</v>
      </c>
      <c r="S86" s="3" t="b">
        <v>1</v>
      </c>
      <c r="T86">
        <v>1465</v>
      </c>
      <c r="U86">
        <v>55589</v>
      </c>
      <c r="V86">
        <v>1</v>
      </c>
      <c r="W86">
        <v>4569</v>
      </c>
      <c r="X86">
        <v>4568</v>
      </c>
    </row>
    <row r="87" spans="1:24" x14ac:dyDescent="0.2">
      <c r="A87" t="s">
        <v>483</v>
      </c>
      <c r="B87" t="s">
        <v>58</v>
      </c>
      <c r="C87" t="s">
        <v>484</v>
      </c>
      <c r="G87" t="s">
        <v>426</v>
      </c>
      <c r="H87" t="s">
        <v>427</v>
      </c>
      <c r="I87" t="s">
        <v>428</v>
      </c>
      <c r="J87" t="s">
        <v>429</v>
      </c>
      <c r="K87" s="3" t="b">
        <v>1</v>
      </c>
      <c r="L87" s="3" t="b">
        <v>1</v>
      </c>
      <c r="M87" s="3" t="b">
        <v>0</v>
      </c>
      <c r="N87" s="3" t="b">
        <v>1</v>
      </c>
      <c r="O87" s="3" t="b">
        <v>0</v>
      </c>
      <c r="P87" s="3" t="b">
        <v>0</v>
      </c>
      <c r="Q87" s="3" t="b">
        <v>0</v>
      </c>
      <c r="R87" s="3" t="b">
        <v>0</v>
      </c>
      <c r="S87" s="3" t="b">
        <v>0</v>
      </c>
      <c r="T87">
        <v>1676</v>
      </c>
      <c r="U87">
        <v>56906</v>
      </c>
      <c r="V87">
        <v>1</v>
      </c>
      <c r="W87">
        <v>4982</v>
      </c>
      <c r="X87">
        <v>4981</v>
      </c>
    </row>
    <row r="88" spans="1:24" x14ac:dyDescent="0.2">
      <c r="A88" t="s">
        <v>485</v>
      </c>
      <c r="B88" t="s">
        <v>58</v>
      </c>
      <c r="C88" t="s">
        <v>486</v>
      </c>
      <c r="G88" t="s">
        <v>487</v>
      </c>
      <c r="H88" t="s">
        <v>488</v>
      </c>
      <c r="I88" t="s">
        <v>489</v>
      </c>
      <c r="J88" t="s">
        <v>490</v>
      </c>
      <c r="K88" s="3" t="b">
        <v>1</v>
      </c>
      <c r="L88" s="3" t="b">
        <v>1</v>
      </c>
      <c r="M88" s="3" t="b">
        <v>0</v>
      </c>
      <c r="N88" s="3" t="b">
        <v>1</v>
      </c>
      <c r="O88" s="3" t="b">
        <v>0</v>
      </c>
      <c r="P88" s="3" t="b">
        <v>0</v>
      </c>
      <c r="Q88" s="3" t="b">
        <v>0</v>
      </c>
      <c r="R88" s="3" t="b">
        <v>0</v>
      </c>
      <c r="S88" s="3" t="b">
        <v>0</v>
      </c>
      <c r="T88">
        <v>2078</v>
      </c>
      <c r="U88">
        <v>72168</v>
      </c>
      <c r="V88">
        <v>1</v>
      </c>
      <c r="W88">
        <v>6460</v>
      </c>
      <c r="X88">
        <v>6459</v>
      </c>
    </row>
    <row r="89" spans="1:24" x14ac:dyDescent="0.2">
      <c r="A89" t="s">
        <v>491</v>
      </c>
      <c r="B89" t="s">
        <v>58</v>
      </c>
      <c r="C89" t="s">
        <v>492</v>
      </c>
      <c r="G89" t="s">
        <v>493</v>
      </c>
      <c r="H89" t="s">
        <v>494</v>
      </c>
      <c r="I89" t="s">
        <v>495</v>
      </c>
      <c r="J89" t="s">
        <v>29</v>
      </c>
      <c r="K89" s="3" t="b">
        <v>1</v>
      </c>
      <c r="L89" s="3" t="b">
        <v>1</v>
      </c>
      <c r="M89" s="3" t="b">
        <v>0</v>
      </c>
      <c r="N89" s="3" t="b">
        <v>1</v>
      </c>
      <c r="O89" s="3" t="b">
        <v>0</v>
      </c>
      <c r="P89" s="3" t="b">
        <v>0</v>
      </c>
      <c r="Q89" s="3" t="b">
        <v>0</v>
      </c>
      <c r="R89" s="3" t="b">
        <v>0</v>
      </c>
      <c r="S89" s="3" t="b">
        <v>0</v>
      </c>
      <c r="T89">
        <v>2262</v>
      </c>
      <c r="U89">
        <v>77688</v>
      </c>
      <c r="V89">
        <v>1</v>
      </c>
      <c r="W89">
        <v>7049</v>
      </c>
      <c r="X89">
        <v>7046</v>
      </c>
    </row>
    <row r="90" spans="1:24" x14ac:dyDescent="0.2">
      <c r="A90" t="s">
        <v>496</v>
      </c>
      <c r="B90" t="s">
        <v>31</v>
      </c>
      <c r="C90" t="s">
        <v>497</v>
      </c>
      <c r="G90" t="s">
        <v>498</v>
      </c>
      <c r="H90" t="s">
        <v>499</v>
      </c>
      <c r="I90" t="s">
        <v>500</v>
      </c>
      <c r="J90" t="s">
        <v>29</v>
      </c>
      <c r="K90" s="3" t="b">
        <v>1</v>
      </c>
      <c r="L90" s="3" t="b">
        <v>0</v>
      </c>
      <c r="M90" s="3" t="b">
        <v>0</v>
      </c>
      <c r="N90" s="3" t="b">
        <v>0</v>
      </c>
      <c r="O90" s="3" t="b">
        <v>0</v>
      </c>
      <c r="P90" s="3" t="b">
        <v>0</v>
      </c>
      <c r="Q90" s="3" t="b">
        <v>0</v>
      </c>
      <c r="R90" s="3" t="b">
        <v>0</v>
      </c>
      <c r="S90" s="3" t="b">
        <v>0</v>
      </c>
      <c r="T90">
        <v>2915</v>
      </c>
      <c r="U90">
        <v>98624</v>
      </c>
      <c r="V90">
        <v>1</v>
      </c>
      <c r="W90">
        <v>8563</v>
      </c>
      <c r="X90">
        <v>8562</v>
      </c>
    </row>
    <row r="91" spans="1:24" x14ac:dyDescent="0.2">
      <c r="A91" t="s">
        <v>501</v>
      </c>
      <c r="B91" t="s">
        <v>51</v>
      </c>
      <c r="C91" t="s">
        <v>502</v>
      </c>
      <c r="D91" t="s">
        <v>503</v>
      </c>
      <c r="E91" t="s">
        <v>504</v>
      </c>
      <c r="G91" t="s">
        <v>505</v>
      </c>
      <c r="H91" t="s">
        <v>506</v>
      </c>
      <c r="I91" t="s">
        <v>507</v>
      </c>
      <c r="J91" t="s">
        <v>91</v>
      </c>
      <c r="K91" s="3" t="b">
        <v>1</v>
      </c>
      <c r="L91" s="3" t="b">
        <v>1</v>
      </c>
      <c r="M91" s="3" t="b">
        <v>0</v>
      </c>
      <c r="N91" s="3" t="b">
        <v>1</v>
      </c>
      <c r="O91" s="3" t="b">
        <v>1</v>
      </c>
      <c r="P91" s="3" t="b">
        <v>0</v>
      </c>
      <c r="Q91" s="3" t="b">
        <v>0</v>
      </c>
      <c r="R91" s="3" t="b">
        <v>0</v>
      </c>
      <c r="S91" s="3" t="b">
        <v>0</v>
      </c>
      <c r="T91">
        <v>3262</v>
      </c>
      <c r="U91">
        <v>109354</v>
      </c>
      <c r="V91">
        <v>1</v>
      </c>
      <c r="W91">
        <v>11141</v>
      </c>
      <c r="X91">
        <v>11140</v>
      </c>
    </row>
    <row r="92" spans="1:24" x14ac:dyDescent="0.2">
      <c r="A92" t="s">
        <v>508</v>
      </c>
      <c r="B92" t="s">
        <v>31</v>
      </c>
      <c r="C92" t="s">
        <v>509</v>
      </c>
      <c r="G92" t="s">
        <v>510</v>
      </c>
      <c r="H92" t="s">
        <v>511</v>
      </c>
      <c r="I92" t="s">
        <v>512</v>
      </c>
      <c r="J92" t="s">
        <v>29</v>
      </c>
      <c r="K92" s="3" t="b">
        <v>1</v>
      </c>
      <c r="L92" s="3" t="b">
        <v>1</v>
      </c>
      <c r="M92" s="3" t="b">
        <v>0</v>
      </c>
      <c r="N92" s="3" t="b">
        <v>0</v>
      </c>
      <c r="O92" s="3" t="b">
        <v>1</v>
      </c>
      <c r="P92" s="3" t="b">
        <v>0</v>
      </c>
      <c r="Q92" s="3" t="b">
        <v>0</v>
      </c>
      <c r="R92" s="3" t="b">
        <v>0</v>
      </c>
      <c r="S92" s="3" t="b">
        <v>0</v>
      </c>
      <c r="T92">
        <v>3861</v>
      </c>
      <c r="U92">
        <v>189983</v>
      </c>
      <c r="V92">
        <v>1</v>
      </c>
      <c r="W92">
        <v>13567</v>
      </c>
      <c r="X92">
        <v>13566</v>
      </c>
    </row>
    <row r="93" spans="1:24" x14ac:dyDescent="0.2">
      <c r="A93" t="s">
        <v>513</v>
      </c>
      <c r="B93" t="s">
        <v>24</v>
      </c>
      <c r="C93" t="s">
        <v>514</v>
      </c>
      <c r="D93" t="s">
        <v>515</v>
      </c>
      <c r="G93" t="s">
        <v>516</v>
      </c>
      <c r="H93" t="s">
        <v>517</v>
      </c>
      <c r="I93" t="s">
        <v>220</v>
      </c>
      <c r="J93" t="s">
        <v>91</v>
      </c>
      <c r="K93" s="3" t="b">
        <v>1</v>
      </c>
      <c r="L93" s="3" t="b">
        <v>0</v>
      </c>
      <c r="M93" s="3" t="b">
        <v>0</v>
      </c>
      <c r="N93" s="3" t="b">
        <v>0</v>
      </c>
      <c r="O93" s="3" t="b">
        <v>0</v>
      </c>
      <c r="P93" s="3" t="b">
        <v>0</v>
      </c>
      <c r="Q93" s="3" t="b">
        <v>0</v>
      </c>
      <c r="R93" s="3" t="b">
        <v>0</v>
      </c>
      <c r="S93" s="3" t="b">
        <v>0</v>
      </c>
      <c r="T93">
        <v>2872</v>
      </c>
      <c r="U93">
        <v>97877</v>
      </c>
      <c r="V93">
        <v>1</v>
      </c>
      <c r="W93">
        <v>8506</v>
      </c>
      <c r="X93">
        <v>8505</v>
      </c>
    </row>
    <row r="94" spans="1:24" x14ac:dyDescent="0.2">
      <c r="A94" t="s">
        <v>518</v>
      </c>
      <c r="B94" t="s">
        <v>24</v>
      </c>
      <c r="C94" t="s">
        <v>519</v>
      </c>
      <c r="D94" t="s">
        <v>520</v>
      </c>
      <c r="F94" t="s">
        <v>521</v>
      </c>
      <c r="G94" t="s">
        <v>522</v>
      </c>
      <c r="H94" t="s">
        <v>523</v>
      </c>
      <c r="I94" t="s">
        <v>524</v>
      </c>
      <c r="J94" t="s">
        <v>91</v>
      </c>
      <c r="K94" s="3" t="b">
        <v>1</v>
      </c>
      <c r="L94" s="3" t="b">
        <v>0</v>
      </c>
      <c r="M94" s="3" t="b">
        <v>0</v>
      </c>
      <c r="N94" s="3" t="b">
        <v>0</v>
      </c>
      <c r="O94" s="3" t="b">
        <v>0</v>
      </c>
      <c r="P94" s="3" t="b">
        <v>0</v>
      </c>
      <c r="Q94" s="3" t="b">
        <v>0</v>
      </c>
      <c r="R94" s="3" t="b">
        <v>0</v>
      </c>
      <c r="S94" s="3" t="b">
        <v>0</v>
      </c>
      <c r="T94">
        <v>771</v>
      </c>
      <c r="U94">
        <v>23507</v>
      </c>
      <c r="V94">
        <v>1</v>
      </c>
      <c r="W94">
        <v>2110</v>
      </c>
      <c r="X94">
        <v>2109</v>
      </c>
    </row>
    <row r="95" spans="1:24" x14ac:dyDescent="0.2">
      <c r="A95" t="s">
        <v>525</v>
      </c>
      <c r="B95" t="s">
        <v>24</v>
      </c>
      <c r="C95" t="s">
        <v>322</v>
      </c>
      <c r="D95" t="s">
        <v>526</v>
      </c>
      <c r="F95" t="s">
        <v>527</v>
      </c>
      <c r="G95" t="s">
        <v>528</v>
      </c>
      <c r="H95" t="s">
        <v>529</v>
      </c>
      <c r="I95" t="s">
        <v>530</v>
      </c>
      <c r="J95" t="s">
        <v>29</v>
      </c>
      <c r="K95" s="3" t="b">
        <v>1</v>
      </c>
      <c r="L95" s="3" t="b">
        <v>1</v>
      </c>
      <c r="M95" s="3" t="b">
        <v>0</v>
      </c>
      <c r="N95" s="3" t="b">
        <v>1</v>
      </c>
      <c r="O95" s="3" t="b">
        <v>0</v>
      </c>
      <c r="P95" s="3" t="b">
        <v>0</v>
      </c>
      <c r="Q95" s="3" t="b">
        <v>0</v>
      </c>
      <c r="R95" s="3" t="b">
        <v>0</v>
      </c>
      <c r="S95" s="3" t="b">
        <v>0</v>
      </c>
      <c r="T95">
        <v>937</v>
      </c>
      <c r="U95">
        <v>34392</v>
      </c>
      <c r="V95">
        <v>1</v>
      </c>
      <c r="W95">
        <v>2649</v>
      </c>
      <c r="X95">
        <v>2648</v>
      </c>
    </row>
    <row r="96" spans="1:24" x14ac:dyDescent="0.2">
      <c r="A96" t="s">
        <v>531</v>
      </c>
      <c r="B96" t="s">
        <v>24</v>
      </c>
      <c r="C96" t="s">
        <v>299</v>
      </c>
      <c r="G96" t="s">
        <v>532</v>
      </c>
      <c r="H96" t="s">
        <v>533</v>
      </c>
      <c r="I96" t="s">
        <v>534</v>
      </c>
      <c r="J96" t="s">
        <v>29</v>
      </c>
      <c r="K96" s="3" t="b">
        <v>1</v>
      </c>
      <c r="L96" s="3" t="b">
        <v>0</v>
      </c>
      <c r="M96" s="3" t="b">
        <v>0</v>
      </c>
      <c r="N96" s="3" t="b">
        <v>0</v>
      </c>
      <c r="O96" s="3" t="b">
        <v>0</v>
      </c>
      <c r="P96" s="3" t="b">
        <v>0</v>
      </c>
      <c r="Q96" s="3" t="b">
        <v>0</v>
      </c>
      <c r="R96" s="3" t="b">
        <v>0</v>
      </c>
      <c r="S96" s="3" t="b">
        <v>0</v>
      </c>
      <c r="T96">
        <v>924</v>
      </c>
      <c r="U96">
        <v>34392</v>
      </c>
      <c r="V96">
        <v>1</v>
      </c>
      <c r="W96">
        <v>2662</v>
      </c>
      <c r="X96">
        <v>2661</v>
      </c>
    </row>
    <row r="97" spans="1:24" x14ac:dyDescent="0.2">
      <c r="A97" t="s">
        <v>535</v>
      </c>
      <c r="B97" t="s">
        <v>58</v>
      </c>
      <c r="C97" t="s">
        <v>536</v>
      </c>
      <c r="G97" t="s">
        <v>537</v>
      </c>
      <c r="H97" t="s">
        <v>538</v>
      </c>
      <c r="I97" t="s">
        <v>539</v>
      </c>
      <c r="J97" t="s">
        <v>29</v>
      </c>
      <c r="K97" s="3" t="b">
        <v>1</v>
      </c>
      <c r="L97" s="3" t="b">
        <v>1</v>
      </c>
      <c r="M97" s="3" t="b">
        <v>0</v>
      </c>
      <c r="N97" s="3" t="b">
        <v>1</v>
      </c>
      <c r="O97" s="3" t="b">
        <v>1</v>
      </c>
      <c r="P97" s="3" t="b">
        <v>0</v>
      </c>
      <c r="Q97" s="3" t="b">
        <v>0</v>
      </c>
      <c r="R97" s="3" t="b">
        <v>0</v>
      </c>
      <c r="S97" s="3" t="b">
        <v>1</v>
      </c>
      <c r="T97">
        <v>3343</v>
      </c>
      <c r="U97">
        <v>113256</v>
      </c>
      <c r="V97">
        <v>3</v>
      </c>
      <c r="W97">
        <v>11561</v>
      </c>
      <c r="X97">
        <v>11555</v>
      </c>
    </row>
    <row r="98" spans="1:24" x14ac:dyDescent="0.2">
      <c r="A98" t="s">
        <v>540</v>
      </c>
      <c r="B98" t="s">
        <v>58</v>
      </c>
      <c r="C98" t="s">
        <v>541</v>
      </c>
      <c r="D98" t="s">
        <v>542</v>
      </c>
      <c r="G98" t="s">
        <v>543</v>
      </c>
      <c r="H98" t="s">
        <v>544</v>
      </c>
      <c r="I98" t="s">
        <v>545</v>
      </c>
      <c r="J98" t="s">
        <v>546</v>
      </c>
      <c r="K98" s="3" t="b">
        <v>1</v>
      </c>
      <c r="L98" s="3" t="b">
        <v>0</v>
      </c>
      <c r="M98" s="3" t="b">
        <v>0</v>
      </c>
      <c r="N98" s="3" t="b">
        <v>0</v>
      </c>
      <c r="O98" s="3" t="b">
        <v>0</v>
      </c>
      <c r="P98" s="3" t="b">
        <v>0</v>
      </c>
      <c r="Q98" s="3" t="b">
        <v>0</v>
      </c>
      <c r="R98" s="3" t="b">
        <v>0</v>
      </c>
      <c r="S98" s="3" t="b">
        <v>0</v>
      </c>
      <c r="T98">
        <v>548</v>
      </c>
      <c r="U98">
        <v>20474</v>
      </c>
      <c r="V98">
        <v>1</v>
      </c>
      <c r="W98">
        <v>1716</v>
      </c>
      <c r="X98">
        <v>1715</v>
      </c>
    </row>
    <row r="99" spans="1:24" x14ac:dyDescent="0.2">
      <c r="A99" t="s">
        <v>547</v>
      </c>
      <c r="B99" t="s">
        <v>31</v>
      </c>
      <c r="C99" t="s">
        <v>548</v>
      </c>
      <c r="G99" t="s">
        <v>549</v>
      </c>
      <c r="H99" t="s">
        <v>550</v>
      </c>
      <c r="I99" t="s">
        <v>551</v>
      </c>
      <c r="J99" t="s">
        <v>552</v>
      </c>
      <c r="K99" s="3" t="b">
        <v>1</v>
      </c>
      <c r="L99" s="3" t="b">
        <v>1</v>
      </c>
      <c r="M99" s="3" t="b">
        <v>0</v>
      </c>
      <c r="N99" s="3" t="b">
        <v>1</v>
      </c>
      <c r="O99" s="3" t="b">
        <v>0</v>
      </c>
      <c r="P99" s="3" t="b">
        <v>0</v>
      </c>
      <c r="Q99" s="3" t="b">
        <v>0</v>
      </c>
      <c r="R99" s="3" t="b">
        <v>0</v>
      </c>
      <c r="S99" s="3" t="b">
        <v>1</v>
      </c>
      <c r="T99">
        <v>4189</v>
      </c>
      <c r="U99">
        <v>233801</v>
      </c>
      <c r="V99">
        <v>1</v>
      </c>
      <c r="W99">
        <v>15053</v>
      </c>
      <c r="X99">
        <v>15052</v>
      </c>
    </row>
    <row r="100" spans="1:24" x14ac:dyDescent="0.2">
      <c r="A100" t="s">
        <v>553</v>
      </c>
      <c r="B100" t="s">
        <v>51</v>
      </c>
      <c r="C100" t="s">
        <v>554</v>
      </c>
      <c r="D100" t="s">
        <v>555</v>
      </c>
      <c r="E100" t="s">
        <v>556</v>
      </c>
      <c r="G100" t="s">
        <v>557</v>
      </c>
      <c r="H100" t="s">
        <v>558</v>
      </c>
      <c r="I100" t="s">
        <v>559</v>
      </c>
      <c r="J100" t="s">
        <v>91</v>
      </c>
      <c r="K100" s="3" t="b">
        <v>1</v>
      </c>
      <c r="L100" s="3" t="b">
        <v>0</v>
      </c>
      <c r="M100" s="3" t="b">
        <v>0</v>
      </c>
      <c r="N100" s="3" t="b">
        <v>0</v>
      </c>
      <c r="O100" s="3" t="b">
        <v>0</v>
      </c>
      <c r="P100" s="3" t="b">
        <v>0</v>
      </c>
      <c r="Q100" s="3" t="b">
        <v>0</v>
      </c>
      <c r="R100" s="3" t="b">
        <v>0</v>
      </c>
      <c r="S100" s="3" t="b">
        <v>0</v>
      </c>
      <c r="T100">
        <v>3323</v>
      </c>
      <c r="U100">
        <v>111122</v>
      </c>
      <c r="V100">
        <v>1</v>
      </c>
      <c r="W100">
        <v>11304</v>
      </c>
      <c r="X100">
        <v>11303</v>
      </c>
    </row>
    <row r="101" spans="1:24" x14ac:dyDescent="0.2">
      <c r="A101" t="s">
        <v>560</v>
      </c>
      <c r="B101" t="s">
        <v>31</v>
      </c>
      <c r="C101" t="s">
        <v>561</v>
      </c>
      <c r="G101" t="s">
        <v>416</v>
      </c>
      <c r="H101" t="s">
        <v>417</v>
      </c>
      <c r="I101" t="s">
        <v>418</v>
      </c>
      <c r="J101" t="s">
        <v>29</v>
      </c>
      <c r="K101" s="3" t="b">
        <v>1</v>
      </c>
      <c r="L101" s="3" t="b">
        <v>1</v>
      </c>
      <c r="M101" s="3" t="b">
        <v>0</v>
      </c>
      <c r="N101" s="3" t="b">
        <v>1</v>
      </c>
      <c r="O101" s="3" t="b">
        <v>0</v>
      </c>
      <c r="P101" s="3" t="b">
        <v>0</v>
      </c>
      <c r="Q101" s="3" t="b">
        <v>0</v>
      </c>
      <c r="R101" s="3" t="b">
        <v>0</v>
      </c>
      <c r="S101" s="3" t="b">
        <v>0</v>
      </c>
      <c r="T101">
        <v>1881</v>
      </c>
      <c r="U101">
        <v>64011</v>
      </c>
      <c r="V101">
        <v>1</v>
      </c>
      <c r="W101">
        <v>5892</v>
      </c>
      <c r="X101">
        <v>5890</v>
      </c>
    </row>
    <row r="102" spans="1:24" x14ac:dyDescent="0.2">
      <c r="A102" t="s">
        <v>562</v>
      </c>
      <c r="B102" t="s">
        <v>24</v>
      </c>
      <c r="C102" t="s">
        <v>437</v>
      </c>
      <c r="D102" t="s">
        <v>563</v>
      </c>
      <c r="F102" t="s">
        <v>564</v>
      </c>
      <c r="G102" t="s">
        <v>565</v>
      </c>
      <c r="H102" t="s">
        <v>566</v>
      </c>
      <c r="I102" t="s">
        <v>567</v>
      </c>
      <c r="J102" t="s">
        <v>568</v>
      </c>
      <c r="K102" s="3" t="b">
        <v>1</v>
      </c>
      <c r="L102" s="3" t="b">
        <v>1</v>
      </c>
      <c r="M102" s="3" t="b">
        <v>0</v>
      </c>
      <c r="N102" s="3" t="b">
        <v>1</v>
      </c>
      <c r="O102" s="3" t="b">
        <v>1</v>
      </c>
      <c r="P102" s="3" t="b">
        <v>0</v>
      </c>
      <c r="Q102" s="3" t="b">
        <v>0</v>
      </c>
      <c r="R102" s="3" t="b">
        <v>0</v>
      </c>
      <c r="S102" s="3" t="b">
        <v>0</v>
      </c>
      <c r="T102">
        <v>1134</v>
      </c>
      <c r="U102">
        <v>40772</v>
      </c>
      <c r="V102">
        <v>1</v>
      </c>
      <c r="W102">
        <v>2992</v>
      </c>
      <c r="X102">
        <v>2991</v>
      </c>
    </row>
    <row r="103" spans="1:24" x14ac:dyDescent="0.2">
      <c r="A103" t="s">
        <v>569</v>
      </c>
      <c r="B103" t="s">
        <v>58</v>
      </c>
      <c r="C103" t="s">
        <v>52</v>
      </c>
      <c r="G103" t="s">
        <v>570</v>
      </c>
      <c r="H103" t="s">
        <v>571</v>
      </c>
      <c r="I103" t="s">
        <v>572</v>
      </c>
      <c r="J103" t="s">
        <v>29</v>
      </c>
      <c r="K103" s="3" t="b">
        <v>1</v>
      </c>
      <c r="L103" s="3" t="b">
        <v>0</v>
      </c>
      <c r="M103" s="3" t="b">
        <v>0</v>
      </c>
      <c r="N103" s="3" t="b">
        <v>0</v>
      </c>
      <c r="O103" s="3" t="b">
        <v>0</v>
      </c>
      <c r="P103" s="3" t="b">
        <v>0</v>
      </c>
      <c r="Q103" s="3" t="b">
        <v>0</v>
      </c>
      <c r="R103" s="3" t="b">
        <v>0</v>
      </c>
      <c r="S103" s="3" t="b">
        <v>0</v>
      </c>
      <c r="T103">
        <v>25</v>
      </c>
      <c r="U103">
        <v>1651</v>
      </c>
      <c r="V103">
        <v>1</v>
      </c>
      <c r="W103">
        <v>138</v>
      </c>
      <c r="X103">
        <v>136</v>
      </c>
    </row>
    <row r="104" spans="1:24" x14ac:dyDescent="0.2">
      <c r="A104" t="s">
        <v>573</v>
      </c>
      <c r="B104" t="s">
        <v>51</v>
      </c>
      <c r="C104" t="s">
        <v>574</v>
      </c>
      <c r="D104" t="s">
        <v>575</v>
      </c>
      <c r="E104" t="s">
        <v>576</v>
      </c>
      <c r="G104" t="s">
        <v>577</v>
      </c>
      <c r="H104" t="s">
        <v>578</v>
      </c>
      <c r="I104" t="s">
        <v>579</v>
      </c>
      <c r="J104" t="s">
        <v>580</v>
      </c>
      <c r="K104" s="3" t="b">
        <v>1</v>
      </c>
      <c r="L104" s="3" t="b">
        <v>1</v>
      </c>
      <c r="M104" s="3" t="b">
        <v>1</v>
      </c>
      <c r="N104" s="3" t="b">
        <v>1</v>
      </c>
      <c r="O104" s="3" t="b">
        <v>1</v>
      </c>
      <c r="P104" s="3" t="b">
        <v>1</v>
      </c>
      <c r="Q104" s="3" t="b">
        <v>0</v>
      </c>
      <c r="R104" s="3" t="b">
        <v>0</v>
      </c>
      <c r="S104" s="3" t="b">
        <v>1</v>
      </c>
      <c r="T104">
        <v>95</v>
      </c>
      <c r="U104">
        <v>6567</v>
      </c>
      <c r="V104">
        <v>1</v>
      </c>
      <c r="W104">
        <v>294</v>
      </c>
      <c r="X104">
        <v>293</v>
      </c>
    </row>
    <row r="105" spans="1:24" x14ac:dyDescent="0.2">
      <c r="A105" t="s">
        <v>581</v>
      </c>
      <c r="B105" t="s">
        <v>24</v>
      </c>
      <c r="C105" t="s">
        <v>582</v>
      </c>
      <c r="D105" t="s">
        <v>583</v>
      </c>
      <c r="F105" t="s">
        <v>584</v>
      </c>
      <c r="G105" t="s">
        <v>585</v>
      </c>
      <c r="H105" t="s">
        <v>586</v>
      </c>
      <c r="I105" t="s">
        <v>587</v>
      </c>
      <c r="J105" t="s">
        <v>568</v>
      </c>
      <c r="K105" s="3" t="b">
        <v>1</v>
      </c>
      <c r="L105" s="3" t="b">
        <v>1</v>
      </c>
      <c r="M105" s="3" t="b">
        <v>0</v>
      </c>
      <c r="N105" s="3" t="b">
        <v>1</v>
      </c>
      <c r="O105" s="3" t="b">
        <v>1</v>
      </c>
      <c r="P105" s="3" t="b">
        <v>0</v>
      </c>
      <c r="Q105" s="3" t="b">
        <v>0</v>
      </c>
      <c r="R105" s="3" t="b">
        <v>0</v>
      </c>
      <c r="S105" s="3" t="b">
        <v>0</v>
      </c>
      <c r="T105">
        <v>1133</v>
      </c>
      <c r="U105">
        <v>40772</v>
      </c>
      <c r="V105">
        <v>1</v>
      </c>
      <c r="W105">
        <v>2993</v>
      </c>
      <c r="X105">
        <v>2992</v>
      </c>
    </row>
    <row r="106" spans="1:24" x14ac:dyDescent="0.2">
      <c r="A106" t="s">
        <v>588</v>
      </c>
      <c r="B106" t="s">
        <v>31</v>
      </c>
      <c r="C106" t="s">
        <v>186</v>
      </c>
      <c r="G106" t="s">
        <v>589</v>
      </c>
      <c r="H106" t="s">
        <v>590</v>
      </c>
      <c r="I106" t="s">
        <v>591</v>
      </c>
      <c r="J106" t="s">
        <v>592</v>
      </c>
      <c r="K106" s="3" t="b">
        <v>1</v>
      </c>
      <c r="L106" s="3" t="b">
        <v>1</v>
      </c>
      <c r="M106" s="3" t="b">
        <v>0</v>
      </c>
      <c r="N106" s="3" t="b">
        <v>1</v>
      </c>
      <c r="O106" s="3" t="b">
        <v>1</v>
      </c>
      <c r="P106" s="3" t="b">
        <v>0</v>
      </c>
      <c r="Q106" s="3" t="b">
        <v>0</v>
      </c>
      <c r="R106" s="3" t="b">
        <v>0</v>
      </c>
      <c r="S106" s="3" t="b">
        <v>1</v>
      </c>
      <c r="T106">
        <v>23</v>
      </c>
      <c r="U106">
        <v>1649</v>
      </c>
      <c r="V106">
        <v>1</v>
      </c>
      <c r="W106">
        <v>98</v>
      </c>
      <c r="X106">
        <v>97</v>
      </c>
    </row>
    <row r="107" spans="1:24" x14ac:dyDescent="0.2">
      <c r="A107" t="s">
        <v>593</v>
      </c>
      <c r="B107" t="s">
        <v>58</v>
      </c>
      <c r="C107" t="s">
        <v>594</v>
      </c>
      <c r="D107" t="s">
        <v>595</v>
      </c>
      <c r="G107" t="s">
        <v>82</v>
      </c>
      <c r="H107" t="s">
        <v>83</v>
      </c>
      <c r="I107" t="s">
        <v>84</v>
      </c>
      <c r="J107" t="s">
        <v>596</v>
      </c>
      <c r="K107" s="3" t="b">
        <v>1</v>
      </c>
      <c r="L107" s="3" t="b">
        <v>0</v>
      </c>
      <c r="M107" s="3" t="b">
        <v>0</v>
      </c>
      <c r="N107" s="3" t="b">
        <v>0</v>
      </c>
      <c r="O107" s="3" t="b">
        <v>0</v>
      </c>
      <c r="P107" s="3" t="b">
        <v>0</v>
      </c>
      <c r="Q107" s="3" t="b">
        <v>0</v>
      </c>
      <c r="R107" s="3" t="b">
        <v>0</v>
      </c>
      <c r="S107" s="3" t="b">
        <v>0</v>
      </c>
      <c r="T107">
        <v>2994</v>
      </c>
      <c r="U107">
        <v>100900</v>
      </c>
      <c r="V107">
        <v>2</v>
      </c>
      <c r="W107">
        <v>8798</v>
      </c>
      <c r="X107">
        <v>8779</v>
      </c>
    </row>
    <row r="108" spans="1:24" x14ac:dyDescent="0.2">
      <c r="A108" t="s">
        <v>597</v>
      </c>
      <c r="B108" t="s">
        <v>58</v>
      </c>
      <c r="C108" t="s">
        <v>598</v>
      </c>
      <c r="G108" t="s">
        <v>599</v>
      </c>
      <c r="H108" s="2" t="s">
        <v>600</v>
      </c>
      <c r="I108" t="s">
        <v>309</v>
      </c>
      <c r="J108" t="s">
        <v>310</v>
      </c>
      <c r="K108" s="3" t="b">
        <v>1</v>
      </c>
      <c r="L108" s="3" t="b">
        <v>1</v>
      </c>
      <c r="M108" s="3" t="b">
        <v>0</v>
      </c>
      <c r="N108" s="3" t="b">
        <v>1</v>
      </c>
      <c r="O108" s="3" t="b">
        <v>0</v>
      </c>
      <c r="P108" s="3" t="b">
        <v>0</v>
      </c>
      <c r="Q108" s="3" t="b">
        <v>0</v>
      </c>
      <c r="R108" s="3" t="b">
        <v>0</v>
      </c>
      <c r="S108" s="3" t="b">
        <v>0</v>
      </c>
      <c r="T108">
        <v>680</v>
      </c>
      <c r="U108">
        <v>21283</v>
      </c>
      <c r="V108">
        <v>38</v>
      </c>
      <c r="W108">
        <v>1921</v>
      </c>
      <c r="X108">
        <v>1856</v>
      </c>
    </row>
    <row r="109" spans="1:24" x14ac:dyDescent="0.2">
      <c r="A109" t="s">
        <v>601</v>
      </c>
      <c r="B109" t="s">
        <v>51</v>
      </c>
      <c r="C109" t="s">
        <v>602</v>
      </c>
      <c r="D109" t="s">
        <v>603</v>
      </c>
      <c r="E109" t="s">
        <v>253</v>
      </c>
      <c r="G109" t="s">
        <v>604</v>
      </c>
      <c r="H109" t="s">
        <v>605</v>
      </c>
      <c r="I109" t="s">
        <v>606</v>
      </c>
      <c r="J109" t="s">
        <v>91</v>
      </c>
      <c r="K109" s="3" t="b">
        <v>1</v>
      </c>
      <c r="L109" s="3" t="b">
        <v>1</v>
      </c>
      <c r="M109" s="3" t="b">
        <v>0</v>
      </c>
      <c r="N109" s="3" t="b">
        <v>1</v>
      </c>
      <c r="O109" s="3" t="b">
        <v>0</v>
      </c>
      <c r="P109" s="3" t="b">
        <v>0</v>
      </c>
      <c r="Q109" s="3" t="b">
        <v>0</v>
      </c>
      <c r="R109" s="3" t="b">
        <v>0</v>
      </c>
      <c r="S109" s="3" t="b">
        <v>0</v>
      </c>
      <c r="T109">
        <v>3263</v>
      </c>
      <c r="U109">
        <v>109354</v>
      </c>
      <c r="V109">
        <v>1</v>
      </c>
      <c r="W109">
        <v>11140</v>
      </c>
      <c r="X109">
        <v>11139</v>
      </c>
    </row>
    <row r="110" spans="1:24" x14ac:dyDescent="0.2">
      <c r="A110" t="s">
        <v>607</v>
      </c>
      <c r="B110" t="s">
        <v>58</v>
      </c>
      <c r="C110" t="s">
        <v>608</v>
      </c>
      <c r="G110" t="s">
        <v>609</v>
      </c>
      <c r="H110" t="s">
        <v>610</v>
      </c>
      <c r="I110" t="s">
        <v>611</v>
      </c>
      <c r="J110" t="s">
        <v>29</v>
      </c>
      <c r="K110" s="3" t="b">
        <v>1</v>
      </c>
      <c r="L110" s="3" t="b">
        <v>0</v>
      </c>
      <c r="M110" s="3" t="b">
        <v>0</v>
      </c>
      <c r="N110" s="3" t="b">
        <v>0</v>
      </c>
      <c r="O110" s="3" t="b">
        <v>0</v>
      </c>
      <c r="P110" s="3" t="b">
        <v>0</v>
      </c>
      <c r="Q110" s="3" t="b">
        <v>0</v>
      </c>
      <c r="R110" s="3" t="b">
        <v>0</v>
      </c>
      <c r="S110" s="3" t="b">
        <v>0</v>
      </c>
      <c r="T110">
        <v>1531</v>
      </c>
      <c r="U110">
        <v>55594</v>
      </c>
      <c r="V110">
        <v>1</v>
      </c>
      <c r="W110">
        <v>4675</v>
      </c>
      <c r="X110">
        <v>4674</v>
      </c>
    </row>
    <row r="111" spans="1:24" x14ac:dyDescent="0.2">
      <c r="A111" t="s">
        <v>612</v>
      </c>
      <c r="B111" t="s">
        <v>24</v>
      </c>
      <c r="C111" t="s">
        <v>405</v>
      </c>
      <c r="D111" t="s">
        <v>613</v>
      </c>
      <c r="F111" t="s">
        <v>614</v>
      </c>
      <c r="G111" t="s">
        <v>615</v>
      </c>
      <c r="H111" t="s">
        <v>616</v>
      </c>
      <c r="I111" t="s">
        <v>617</v>
      </c>
      <c r="J111" t="s">
        <v>91</v>
      </c>
      <c r="K111" s="3" t="b">
        <v>1</v>
      </c>
      <c r="L111" s="3" t="b">
        <v>1</v>
      </c>
      <c r="M111" s="3" t="b">
        <v>0</v>
      </c>
      <c r="N111" s="3" t="b">
        <v>0</v>
      </c>
      <c r="O111" s="3" t="b">
        <v>0</v>
      </c>
      <c r="P111" s="3" t="b">
        <v>1</v>
      </c>
      <c r="Q111" s="3" t="b">
        <v>0</v>
      </c>
      <c r="R111" s="3" t="b">
        <v>0</v>
      </c>
      <c r="S111" s="3" t="b">
        <v>1</v>
      </c>
      <c r="T111">
        <v>713</v>
      </c>
      <c r="U111">
        <v>22246</v>
      </c>
      <c r="V111">
        <v>1</v>
      </c>
      <c r="W111">
        <v>2056</v>
      </c>
      <c r="X111">
        <v>2054</v>
      </c>
    </row>
    <row r="112" spans="1:24" x14ac:dyDescent="0.2">
      <c r="A112" t="s">
        <v>618</v>
      </c>
      <c r="B112" t="s">
        <v>24</v>
      </c>
      <c r="C112" t="s">
        <v>619</v>
      </c>
      <c r="F112" t="s">
        <v>620</v>
      </c>
      <c r="G112" t="s">
        <v>621</v>
      </c>
      <c r="H112" t="s">
        <v>622</v>
      </c>
      <c r="I112" t="s">
        <v>125</v>
      </c>
      <c r="J112" t="s">
        <v>91</v>
      </c>
      <c r="K112" s="3" t="b">
        <v>1</v>
      </c>
      <c r="L112" s="3" t="b">
        <v>1</v>
      </c>
      <c r="M112" s="3" t="b">
        <v>0</v>
      </c>
      <c r="N112" s="3" t="b">
        <v>1</v>
      </c>
      <c r="O112" s="3" t="b">
        <v>0</v>
      </c>
      <c r="P112" s="3" t="b">
        <v>0</v>
      </c>
      <c r="Q112" s="3" t="b">
        <v>0</v>
      </c>
      <c r="R112" s="3" t="b">
        <v>0</v>
      </c>
      <c r="S112" s="3" t="b">
        <v>0</v>
      </c>
      <c r="T112">
        <v>1376</v>
      </c>
      <c r="U112">
        <v>54253</v>
      </c>
      <c r="V112">
        <v>1</v>
      </c>
      <c r="W112">
        <v>4418</v>
      </c>
      <c r="X112">
        <v>4417</v>
      </c>
    </row>
    <row r="113" spans="1:24" x14ac:dyDescent="0.2">
      <c r="A113" t="s">
        <v>623</v>
      </c>
      <c r="B113" t="s">
        <v>58</v>
      </c>
      <c r="C113" t="s">
        <v>52</v>
      </c>
      <c r="G113" t="s">
        <v>624</v>
      </c>
      <c r="H113" t="s">
        <v>625</v>
      </c>
      <c r="I113" t="s">
        <v>626</v>
      </c>
      <c r="J113" t="s">
        <v>91</v>
      </c>
      <c r="K113" s="3" t="b">
        <v>1</v>
      </c>
      <c r="L113" s="3" t="b">
        <v>0</v>
      </c>
      <c r="M113" s="3" t="b">
        <v>0</v>
      </c>
      <c r="N113" s="3" t="b">
        <v>0</v>
      </c>
      <c r="O113" s="3" t="b">
        <v>0</v>
      </c>
      <c r="P113" s="3" t="b">
        <v>0</v>
      </c>
      <c r="Q113" s="3" t="b">
        <v>0</v>
      </c>
      <c r="R113" s="3" t="b">
        <v>0</v>
      </c>
      <c r="S113" s="3" t="b">
        <v>0</v>
      </c>
      <c r="T113">
        <v>3363</v>
      </c>
      <c r="U113">
        <v>115208</v>
      </c>
      <c r="V113">
        <v>1</v>
      </c>
      <c r="W113">
        <v>11915</v>
      </c>
      <c r="X113">
        <v>11914</v>
      </c>
    </row>
    <row r="114" spans="1:24" x14ac:dyDescent="0.2">
      <c r="A114" t="s">
        <v>627</v>
      </c>
      <c r="B114" t="s">
        <v>58</v>
      </c>
      <c r="C114" t="s">
        <v>628</v>
      </c>
      <c r="D114" t="s">
        <v>629</v>
      </c>
      <c r="G114" t="s">
        <v>630</v>
      </c>
      <c r="H114" t="s">
        <v>631</v>
      </c>
      <c r="I114" t="s">
        <v>632</v>
      </c>
      <c r="J114" t="s">
        <v>91</v>
      </c>
      <c r="K114" s="3" t="b">
        <v>1</v>
      </c>
      <c r="L114" s="3" t="b">
        <v>1</v>
      </c>
      <c r="M114" s="3" t="b">
        <v>0</v>
      </c>
      <c r="N114" s="3" t="b">
        <v>1</v>
      </c>
      <c r="O114" s="3" t="b">
        <v>1</v>
      </c>
      <c r="P114" s="3" t="b">
        <v>0</v>
      </c>
      <c r="Q114" s="3" t="b">
        <v>0</v>
      </c>
      <c r="R114" s="3" t="b">
        <v>0</v>
      </c>
      <c r="S114" s="3" t="b">
        <v>0</v>
      </c>
      <c r="T114">
        <v>2843</v>
      </c>
      <c r="U114">
        <v>97616</v>
      </c>
      <c r="V114">
        <v>1</v>
      </c>
      <c r="W114">
        <v>8466</v>
      </c>
      <c r="X114">
        <v>8465</v>
      </c>
    </row>
    <row r="115" spans="1:24" x14ac:dyDescent="0.2">
      <c r="A115" t="s">
        <v>633</v>
      </c>
      <c r="B115" t="s">
        <v>31</v>
      </c>
      <c r="C115" t="s">
        <v>186</v>
      </c>
      <c r="G115" t="s">
        <v>46</v>
      </c>
      <c r="H115" t="s">
        <v>47</v>
      </c>
      <c r="I115" t="s">
        <v>48</v>
      </c>
      <c r="J115" t="s">
        <v>49</v>
      </c>
      <c r="K115" s="3" t="b">
        <v>1</v>
      </c>
      <c r="L115" s="3" t="b">
        <v>0</v>
      </c>
      <c r="M115" s="3" t="b">
        <v>0</v>
      </c>
      <c r="N115" s="3" t="b">
        <v>0</v>
      </c>
      <c r="O115" s="3" t="b">
        <v>0</v>
      </c>
      <c r="P115" s="3" t="b">
        <v>0</v>
      </c>
      <c r="Q115" s="3" t="b">
        <v>0</v>
      </c>
      <c r="R115" s="3" t="b">
        <v>0</v>
      </c>
      <c r="S115" s="3" t="b">
        <v>0</v>
      </c>
      <c r="T115">
        <v>3559</v>
      </c>
      <c r="U115">
        <v>140184</v>
      </c>
      <c r="V115">
        <v>1</v>
      </c>
      <c r="W115">
        <v>12708</v>
      </c>
      <c r="X115">
        <v>12707</v>
      </c>
    </row>
    <row r="116" spans="1:24" x14ac:dyDescent="0.2">
      <c r="A116" t="s">
        <v>634</v>
      </c>
      <c r="B116" t="s">
        <v>31</v>
      </c>
      <c r="C116" t="s">
        <v>635</v>
      </c>
      <c r="G116" t="s">
        <v>636</v>
      </c>
      <c r="H116" t="s">
        <v>637</v>
      </c>
      <c r="I116" t="s">
        <v>638</v>
      </c>
      <c r="J116" t="s">
        <v>91</v>
      </c>
      <c r="K116" s="3" t="b">
        <v>1</v>
      </c>
      <c r="L116" s="3" t="b">
        <v>1</v>
      </c>
      <c r="M116" s="3" t="b">
        <v>0</v>
      </c>
      <c r="N116" s="3" t="b">
        <v>1</v>
      </c>
      <c r="O116" s="3" t="b">
        <v>0</v>
      </c>
      <c r="P116" s="3" t="b">
        <v>0</v>
      </c>
      <c r="Q116" s="3" t="b">
        <v>0</v>
      </c>
      <c r="R116" s="3" t="b">
        <v>0</v>
      </c>
      <c r="S116" s="3" t="b">
        <v>0</v>
      </c>
      <c r="T116">
        <v>4176</v>
      </c>
      <c r="U116">
        <v>230308</v>
      </c>
      <c r="V116">
        <v>1</v>
      </c>
      <c r="W116">
        <v>14969</v>
      </c>
      <c r="X116">
        <v>14968</v>
      </c>
    </row>
    <row r="117" spans="1:24" x14ac:dyDescent="0.2">
      <c r="A117" t="s">
        <v>639</v>
      </c>
      <c r="B117" t="s">
        <v>58</v>
      </c>
      <c r="C117" t="s">
        <v>186</v>
      </c>
      <c r="D117" t="s">
        <v>640</v>
      </c>
      <c r="G117" t="s">
        <v>641</v>
      </c>
      <c r="H117" t="s">
        <v>642</v>
      </c>
      <c r="I117" t="s">
        <v>643</v>
      </c>
      <c r="J117" t="s">
        <v>644</v>
      </c>
      <c r="K117" s="3" t="b">
        <v>1</v>
      </c>
      <c r="L117" s="3" t="b">
        <v>1</v>
      </c>
      <c r="M117" s="3" t="b">
        <v>0</v>
      </c>
      <c r="N117" s="3" t="b">
        <v>1</v>
      </c>
      <c r="O117" s="3" t="b">
        <v>0</v>
      </c>
      <c r="P117" s="3" t="b">
        <v>0</v>
      </c>
      <c r="Q117" s="3" t="b">
        <v>1</v>
      </c>
      <c r="R117" s="3" t="b">
        <v>0</v>
      </c>
      <c r="S117" s="3" t="b">
        <v>0</v>
      </c>
      <c r="T117">
        <v>3205</v>
      </c>
      <c r="U117">
        <v>105887</v>
      </c>
      <c r="V117">
        <v>1</v>
      </c>
      <c r="W117">
        <v>10419</v>
      </c>
      <c r="X117">
        <v>10418</v>
      </c>
    </row>
    <row r="118" spans="1:24" x14ac:dyDescent="0.2">
      <c r="A118" t="s">
        <v>645</v>
      </c>
      <c r="B118" t="s">
        <v>31</v>
      </c>
      <c r="C118" t="s">
        <v>646</v>
      </c>
      <c r="G118" t="s">
        <v>647</v>
      </c>
      <c r="H118" t="s">
        <v>648</v>
      </c>
      <c r="I118" t="s">
        <v>649</v>
      </c>
      <c r="J118" t="s">
        <v>29</v>
      </c>
      <c r="K118" s="3" t="b">
        <v>1</v>
      </c>
      <c r="L118" s="3" t="b">
        <v>1</v>
      </c>
      <c r="M118" s="3" t="b">
        <v>0</v>
      </c>
      <c r="N118" s="3" t="b">
        <v>1</v>
      </c>
      <c r="O118" s="3" t="b">
        <v>0</v>
      </c>
      <c r="P118" s="3" t="b">
        <v>0</v>
      </c>
      <c r="Q118" s="3" t="b">
        <v>0</v>
      </c>
      <c r="R118" s="3" t="b">
        <v>0</v>
      </c>
      <c r="S118" s="3" t="b">
        <v>0</v>
      </c>
      <c r="T118">
        <v>16</v>
      </c>
      <c r="U118">
        <v>1649</v>
      </c>
      <c r="V118">
        <v>1</v>
      </c>
      <c r="W118">
        <v>109</v>
      </c>
      <c r="X118">
        <v>108</v>
      </c>
    </row>
    <row r="119" spans="1:24" x14ac:dyDescent="0.2">
      <c r="A119" t="s">
        <v>650</v>
      </c>
      <c r="B119" t="s">
        <v>31</v>
      </c>
      <c r="C119" t="s">
        <v>651</v>
      </c>
      <c r="G119" t="s">
        <v>77</v>
      </c>
      <c r="H119" t="s">
        <v>78</v>
      </c>
      <c r="I119" t="s">
        <v>79</v>
      </c>
      <c r="J119" t="s">
        <v>29</v>
      </c>
      <c r="K119" s="3" t="b">
        <v>1</v>
      </c>
      <c r="L119" s="3" t="b">
        <v>1</v>
      </c>
      <c r="M119" s="3" t="b">
        <v>0</v>
      </c>
      <c r="N119" s="3" t="b">
        <v>1</v>
      </c>
      <c r="O119" s="3" t="b">
        <v>0</v>
      </c>
      <c r="P119" s="3" t="b">
        <v>0</v>
      </c>
      <c r="Q119" s="3" t="b">
        <v>0</v>
      </c>
      <c r="R119" s="3" t="b">
        <v>0</v>
      </c>
      <c r="S119" s="3" t="b">
        <v>0</v>
      </c>
      <c r="T119">
        <v>2932</v>
      </c>
      <c r="U119">
        <v>99225</v>
      </c>
      <c r="V119">
        <v>1</v>
      </c>
      <c r="W119">
        <v>8625</v>
      </c>
      <c r="X119">
        <v>8624</v>
      </c>
    </row>
    <row r="120" spans="1:24" x14ac:dyDescent="0.2">
      <c r="A120" t="s">
        <v>652</v>
      </c>
      <c r="B120" t="s">
        <v>51</v>
      </c>
      <c r="C120" t="s">
        <v>653</v>
      </c>
      <c r="D120" t="s">
        <v>654</v>
      </c>
      <c r="E120" t="s">
        <v>655</v>
      </c>
      <c r="G120" t="s">
        <v>656</v>
      </c>
      <c r="H120" t="s">
        <v>657</v>
      </c>
      <c r="I120" t="s">
        <v>658</v>
      </c>
      <c r="J120" t="s">
        <v>91</v>
      </c>
      <c r="K120" s="3" t="b">
        <v>1</v>
      </c>
      <c r="L120" s="3" t="b">
        <v>1</v>
      </c>
      <c r="M120" s="3" t="b">
        <v>0</v>
      </c>
      <c r="N120" s="3" t="b">
        <v>1</v>
      </c>
      <c r="O120" s="3" t="b">
        <v>1</v>
      </c>
      <c r="P120" s="3" t="b">
        <v>0</v>
      </c>
      <c r="Q120" s="3" t="b">
        <v>0</v>
      </c>
      <c r="R120" s="3" t="b">
        <v>0</v>
      </c>
      <c r="S120" s="3" t="b">
        <v>0</v>
      </c>
      <c r="T120">
        <v>763</v>
      </c>
      <c r="U120">
        <v>23507</v>
      </c>
      <c r="V120">
        <v>1</v>
      </c>
      <c r="W120">
        <v>2121</v>
      </c>
      <c r="X120">
        <v>2120</v>
      </c>
    </row>
    <row r="121" spans="1:24" x14ac:dyDescent="0.2">
      <c r="A121" t="s">
        <v>659</v>
      </c>
      <c r="B121" t="s">
        <v>58</v>
      </c>
      <c r="C121" t="s">
        <v>660</v>
      </c>
      <c r="G121" t="s">
        <v>599</v>
      </c>
      <c r="H121" t="s">
        <v>661</v>
      </c>
      <c r="I121" t="s">
        <v>309</v>
      </c>
      <c r="J121" t="s">
        <v>310</v>
      </c>
      <c r="K121" s="3" t="b">
        <v>1</v>
      </c>
      <c r="L121" s="3" t="b">
        <v>1</v>
      </c>
      <c r="M121" s="3" t="b">
        <v>0</v>
      </c>
      <c r="N121" s="3" t="b">
        <v>1</v>
      </c>
      <c r="O121" s="3" t="b">
        <v>0</v>
      </c>
      <c r="P121" s="3" t="b">
        <v>0</v>
      </c>
      <c r="Q121" s="3" t="b">
        <v>0</v>
      </c>
      <c r="R121" s="3" t="b">
        <v>0</v>
      </c>
      <c r="S121" s="3" t="b">
        <v>0</v>
      </c>
      <c r="T121">
        <v>680</v>
      </c>
      <c r="U121">
        <v>21283</v>
      </c>
      <c r="V121">
        <v>38</v>
      </c>
      <c r="W121">
        <v>1921</v>
      </c>
      <c r="X121">
        <v>1856</v>
      </c>
    </row>
    <row r="122" spans="1:24" x14ac:dyDescent="0.2">
      <c r="A122" t="s">
        <v>662</v>
      </c>
      <c r="B122" t="s">
        <v>58</v>
      </c>
      <c r="C122" t="s">
        <v>663</v>
      </c>
      <c r="G122" t="s">
        <v>664</v>
      </c>
      <c r="H122" t="s">
        <v>665</v>
      </c>
      <c r="I122" t="s">
        <v>666</v>
      </c>
      <c r="J122" t="s">
        <v>667</v>
      </c>
      <c r="K122" s="3" t="b">
        <v>1</v>
      </c>
      <c r="L122" s="3" t="b">
        <v>0</v>
      </c>
      <c r="M122" s="3" t="b">
        <v>0</v>
      </c>
      <c r="N122" s="3" t="b">
        <v>0</v>
      </c>
      <c r="O122" s="3" t="b">
        <v>0</v>
      </c>
      <c r="P122" s="3" t="b">
        <v>0</v>
      </c>
      <c r="Q122" s="3" t="b">
        <v>0</v>
      </c>
      <c r="R122" s="3" t="b">
        <v>0</v>
      </c>
      <c r="S122" s="3" t="b">
        <v>0</v>
      </c>
      <c r="T122">
        <v>944</v>
      </c>
      <c r="U122">
        <v>35527</v>
      </c>
      <c r="V122">
        <v>1</v>
      </c>
      <c r="W122">
        <v>2673</v>
      </c>
      <c r="X122">
        <v>2672</v>
      </c>
    </row>
    <row r="123" spans="1:24" x14ac:dyDescent="0.2">
      <c r="A123" t="s">
        <v>668</v>
      </c>
      <c r="B123" t="s">
        <v>24</v>
      </c>
      <c r="C123" t="s">
        <v>669</v>
      </c>
      <c r="G123" t="s">
        <v>670</v>
      </c>
      <c r="H123" t="s">
        <v>671</v>
      </c>
      <c r="I123" t="s">
        <v>672</v>
      </c>
      <c r="J123" t="s">
        <v>673</v>
      </c>
      <c r="K123" s="3" t="b">
        <v>1</v>
      </c>
      <c r="L123" s="3" t="b">
        <v>0</v>
      </c>
      <c r="M123" s="3" t="b">
        <v>0</v>
      </c>
      <c r="N123" s="3" t="b">
        <v>0</v>
      </c>
      <c r="O123" s="3" t="b">
        <v>0</v>
      </c>
      <c r="P123" s="3" t="b">
        <v>0</v>
      </c>
      <c r="Q123" s="3" t="b">
        <v>0</v>
      </c>
      <c r="R123" s="3" t="b">
        <v>0</v>
      </c>
      <c r="S123" s="3" t="b">
        <v>0</v>
      </c>
      <c r="T123">
        <v>1275</v>
      </c>
      <c r="U123">
        <v>48921</v>
      </c>
      <c r="V123">
        <v>5</v>
      </c>
      <c r="W123">
        <v>3440</v>
      </c>
      <c r="X123">
        <v>3439</v>
      </c>
    </row>
    <row r="124" spans="1:24" x14ac:dyDescent="0.2">
      <c r="A124" t="s">
        <v>674</v>
      </c>
      <c r="B124" t="s">
        <v>51</v>
      </c>
      <c r="C124" t="s">
        <v>675</v>
      </c>
      <c r="E124" t="s">
        <v>405</v>
      </c>
      <c r="G124" t="s">
        <v>676</v>
      </c>
      <c r="H124" t="s">
        <v>677</v>
      </c>
      <c r="I124" t="s">
        <v>678</v>
      </c>
      <c r="J124" t="s">
        <v>29</v>
      </c>
      <c r="K124" s="3" t="b">
        <v>1</v>
      </c>
      <c r="L124" s="3" t="b">
        <v>1</v>
      </c>
      <c r="M124" s="3" t="b">
        <v>1</v>
      </c>
      <c r="N124" s="3" t="b">
        <v>1</v>
      </c>
      <c r="O124" s="3" t="b">
        <v>1</v>
      </c>
      <c r="P124" s="3" t="b">
        <v>0</v>
      </c>
      <c r="Q124" s="3" t="b">
        <v>0</v>
      </c>
      <c r="R124" s="3" t="b">
        <v>0</v>
      </c>
      <c r="S124" s="3" t="b">
        <v>1</v>
      </c>
      <c r="T124">
        <v>4025</v>
      </c>
      <c r="U124">
        <v>212418</v>
      </c>
      <c r="V124">
        <v>1</v>
      </c>
      <c r="W124">
        <v>14522</v>
      </c>
      <c r="X124">
        <v>14521</v>
      </c>
    </row>
    <row r="125" spans="1:24" x14ac:dyDescent="0.2">
      <c r="A125" t="s">
        <v>679</v>
      </c>
      <c r="B125" t="s">
        <v>58</v>
      </c>
      <c r="C125" t="s">
        <v>680</v>
      </c>
      <c r="D125" t="s">
        <v>681</v>
      </c>
      <c r="G125" t="s">
        <v>682</v>
      </c>
      <c r="H125" t="s">
        <v>683</v>
      </c>
      <c r="I125" t="s">
        <v>684</v>
      </c>
      <c r="J125" t="s">
        <v>91</v>
      </c>
      <c r="K125" s="3" t="b">
        <v>1</v>
      </c>
      <c r="L125" s="3" t="b">
        <v>0</v>
      </c>
      <c r="M125" s="3" t="b">
        <v>0</v>
      </c>
      <c r="N125" s="3" t="b">
        <v>0</v>
      </c>
      <c r="O125" s="3" t="b">
        <v>0</v>
      </c>
      <c r="P125" s="3" t="b">
        <v>0</v>
      </c>
      <c r="Q125" s="3" t="b">
        <v>0</v>
      </c>
      <c r="R125" s="3" t="b">
        <v>0</v>
      </c>
      <c r="S125" s="3" t="b">
        <v>0</v>
      </c>
      <c r="T125">
        <v>118</v>
      </c>
      <c r="U125">
        <v>7704</v>
      </c>
      <c r="V125">
        <v>1</v>
      </c>
      <c r="W125">
        <v>639</v>
      </c>
      <c r="X125">
        <v>632</v>
      </c>
    </row>
    <row r="126" spans="1:24" x14ac:dyDescent="0.2">
      <c r="A126" t="s">
        <v>685</v>
      </c>
      <c r="B126" t="s">
        <v>58</v>
      </c>
      <c r="C126" t="s">
        <v>686</v>
      </c>
      <c r="G126" t="s">
        <v>687</v>
      </c>
      <c r="H126" t="s">
        <v>688</v>
      </c>
      <c r="I126" t="s">
        <v>84</v>
      </c>
      <c r="J126" t="s">
        <v>85</v>
      </c>
      <c r="K126" s="3" t="b">
        <v>1</v>
      </c>
      <c r="L126" s="3" t="b">
        <v>0</v>
      </c>
      <c r="M126" s="3" t="b">
        <v>0</v>
      </c>
      <c r="N126" s="3" t="b">
        <v>0</v>
      </c>
      <c r="O126" s="3" t="b">
        <v>0</v>
      </c>
      <c r="P126" s="3" t="b">
        <v>0</v>
      </c>
      <c r="Q126" s="3" t="b">
        <v>0</v>
      </c>
      <c r="R126" s="3" t="b">
        <v>0</v>
      </c>
      <c r="S126" s="3" t="b">
        <v>0</v>
      </c>
      <c r="T126">
        <v>2994</v>
      </c>
      <c r="U126">
        <v>100900</v>
      </c>
      <c r="V126">
        <v>2</v>
      </c>
      <c r="W126">
        <v>8798</v>
      </c>
      <c r="X126">
        <v>8779</v>
      </c>
    </row>
    <row r="127" spans="1:24" x14ac:dyDescent="0.2">
      <c r="A127" t="s">
        <v>689</v>
      </c>
      <c r="B127" t="s">
        <v>31</v>
      </c>
      <c r="C127" t="s">
        <v>690</v>
      </c>
      <c r="G127" t="s">
        <v>691</v>
      </c>
      <c r="H127" t="s">
        <v>692</v>
      </c>
      <c r="I127" t="s">
        <v>693</v>
      </c>
      <c r="J127" t="s">
        <v>29</v>
      </c>
      <c r="K127" s="3" t="b">
        <v>1</v>
      </c>
      <c r="L127" s="3" t="b">
        <v>1</v>
      </c>
      <c r="M127" s="3" t="b">
        <v>0</v>
      </c>
      <c r="N127" s="3" t="b">
        <v>1</v>
      </c>
      <c r="O127" s="3" t="b">
        <v>0</v>
      </c>
      <c r="P127" s="3" t="b">
        <v>0</v>
      </c>
      <c r="Q127" s="3" t="b">
        <v>0</v>
      </c>
      <c r="R127" s="3" t="b">
        <v>0</v>
      </c>
      <c r="S127" s="3" t="b">
        <v>0</v>
      </c>
      <c r="T127">
        <v>39</v>
      </c>
      <c r="U127">
        <v>2403</v>
      </c>
      <c r="V127">
        <v>1</v>
      </c>
      <c r="W127">
        <v>147</v>
      </c>
      <c r="X127">
        <v>146</v>
      </c>
    </row>
    <row r="128" spans="1:24" x14ac:dyDescent="0.2">
      <c r="A128" t="s">
        <v>694</v>
      </c>
      <c r="B128" t="s">
        <v>58</v>
      </c>
      <c r="C128" t="s">
        <v>695</v>
      </c>
      <c r="G128" t="s">
        <v>696</v>
      </c>
      <c r="H128" t="s">
        <v>697</v>
      </c>
      <c r="I128" t="s">
        <v>698</v>
      </c>
      <c r="J128" t="s">
        <v>29</v>
      </c>
      <c r="K128" s="3" t="b">
        <v>1</v>
      </c>
      <c r="L128" s="3" t="b">
        <v>0</v>
      </c>
      <c r="M128" s="3" t="b">
        <v>0</v>
      </c>
      <c r="N128" s="3" t="b">
        <v>0</v>
      </c>
      <c r="O128" s="3" t="b">
        <v>0</v>
      </c>
      <c r="P128" s="3" t="b">
        <v>0</v>
      </c>
      <c r="Q128" s="3" t="b">
        <v>0</v>
      </c>
      <c r="R128" s="3" t="b">
        <v>0</v>
      </c>
      <c r="S128" s="3" t="b">
        <v>0</v>
      </c>
      <c r="T128">
        <v>2636</v>
      </c>
      <c r="U128">
        <v>91957</v>
      </c>
      <c r="V128">
        <v>1</v>
      </c>
      <c r="W128">
        <v>7858</v>
      </c>
      <c r="X128">
        <v>7857</v>
      </c>
    </row>
    <row r="129" spans="1:24" x14ac:dyDescent="0.2">
      <c r="A129" t="s">
        <v>699</v>
      </c>
      <c r="B129" t="s">
        <v>24</v>
      </c>
      <c r="C129" t="s">
        <v>87</v>
      </c>
      <c r="D129" t="s">
        <v>700</v>
      </c>
      <c r="F129" t="s">
        <v>503</v>
      </c>
      <c r="G129" t="s">
        <v>701</v>
      </c>
      <c r="H129" t="s">
        <v>702</v>
      </c>
      <c r="I129" t="s">
        <v>703</v>
      </c>
      <c r="J129" t="s">
        <v>91</v>
      </c>
      <c r="K129" s="3" t="b">
        <v>1</v>
      </c>
      <c r="L129" s="3" t="b">
        <v>0</v>
      </c>
      <c r="M129" s="3" t="b">
        <v>0</v>
      </c>
      <c r="N129" s="3" t="b">
        <v>0</v>
      </c>
      <c r="O129" s="3" t="b">
        <v>0</v>
      </c>
      <c r="P129" s="3" t="b">
        <v>0</v>
      </c>
      <c r="Q129" s="3" t="b">
        <v>0</v>
      </c>
      <c r="R129" s="3" t="b">
        <v>0</v>
      </c>
      <c r="S129" s="3" t="b">
        <v>0</v>
      </c>
      <c r="T129">
        <v>3945</v>
      </c>
      <c r="U129">
        <v>203758</v>
      </c>
      <c r="V129">
        <v>1</v>
      </c>
      <c r="W129">
        <v>13866</v>
      </c>
      <c r="X129">
        <v>13865</v>
      </c>
    </row>
    <row r="130" spans="1:24" x14ac:dyDescent="0.2">
      <c r="A130" t="s">
        <v>704</v>
      </c>
      <c r="B130" t="s">
        <v>51</v>
      </c>
      <c r="C130" t="s">
        <v>705</v>
      </c>
      <c r="E130" t="s">
        <v>706</v>
      </c>
      <c r="G130" t="s">
        <v>707</v>
      </c>
      <c r="H130" t="s">
        <v>708</v>
      </c>
      <c r="I130" t="s">
        <v>709</v>
      </c>
      <c r="J130" t="s">
        <v>91</v>
      </c>
      <c r="K130" s="3" t="b">
        <v>1</v>
      </c>
      <c r="L130" s="3" t="b">
        <v>1</v>
      </c>
      <c r="M130" s="3" t="b">
        <v>1</v>
      </c>
      <c r="N130" s="3" t="b">
        <v>1</v>
      </c>
      <c r="O130" s="3" t="b">
        <v>1</v>
      </c>
      <c r="P130" s="3" t="b">
        <v>0</v>
      </c>
      <c r="Q130" s="3" t="b">
        <v>0</v>
      </c>
      <c r="R130" s="3" t="b">
        <v>0</v>
      </c>
      <c r="S130" s="3" t="b">
        <v>0</v>
      </c>
      <c r="T130">
        <v>733</v>
      </c>
      <c r="U130">
        <v>23507</v>
      </c>
      <c r="V130">
        <v>1</v>
      </c>
      <c r="W130">
        <v>2151</v>
      </c>
      <c r="X130">
        <v>2150</v>
      </c>
    </row>
    <row r="131" spans="1:24" x14ac:dyDescent="0.2">
      <c r="A131" t="s">
        <v>710</v>
      </c>
      <c r="B131" t="s">
        <v>58</v>
      </c>
      <c r="C131" t="s">
        <v>711</v>
      </c>
      <c r="D131" t="s">
        <v>712</v>
      </c>
      <c r="G131" t="s">
        <v>713</v>
      </c>
      <c r="H131" t="s">
        <v>714</v>
      </c>
      <c r="I131" t="s">
        <v>715</v>
      </c>
      <c r="J131" t="s">
        <v>91</v>
      </c>
      <c r="K131" s="3" t="b">
        <v>1</v>
      </c>
      <c r="L131" s="3" t="b">
        <v>1</v>
      </c>
      <c r="M131" s="3" t="b">
        <v>0</v>
      </c>
      <c r="N131" s="3" t="b">
        <v>1</v>
      </c>
      <c r="O131" s="3" t="b">
        <v>1</v>
      </c>
      <c r="P131" s="3" t="b">
        <v>0</v>
      </c>
      <c r="Q131" s="3" t="b">
        <v>0</v>
      </c>
      <c r="R131" s="3" t="b">
        <v>0</v>
      </c>
      <c r="S131" s="3" t="b">
        <v>0</v>
      </c>
      <c r="T131">
        <v>2866</v>
      </c>
      <c r="U131">
        <v>97877</v>
      </c>
      <c r="V131">
        <v>1</v>
      </c>
      <c r="W131">
        <v>8512</v>
      </c>
      <c r="X131">
        <v>8511</v>
      </c>
    </row>
    <row r="132" spans="1:24" x14ac:dyDescent="0.2">
      <c r="A132" t="s">
        <v>716</v>
      </c>
      <c r="B132" t="s">
        <v>58</v>
      </c>
      <c r="C132" t="s">
        <v>717</v>
      </c>
      <c r="G132" t="s">
        <v>718</v>
      </c>
      <c r="H132" t="s">
        <v>719</v>
      </c>
      <c r="I132" t="s">
        <v>362</v>
      </c>
      <c r="J132" t="s">
        <v>91</v>
      </c>
      <c r="K132" s="3" t="b">
        <v>1</v>
      </c>
      <c r="L132" s="3" t="b">
        <v>0</v>
      </c>
      <c r="M132" s="3" t="b">
        <v>0</v>
      </c>
      <c r="N132" s="3" t="b">
        <v>0</v>
      </c>
      <c r="O132" s="3" t="b">
        <v>0</v>
      </c>
      <c r="P132" s="3" t="b">
        <v>0</v>
      </c>
      <c r="Q132" s="3" t="b">
        <v>0</v>
      </c>
      <c r="R132" s="3" t="b">
        <v>0</v>
      </c>
      <c r="S132" s="3" t="b">
        <v>0</v>
      </c>
      <c r="T132">
        <v>1139</v>
      </c>
      <c r="U132">
        <v>41254</v>
      </c>
      <c r="V132">
        <v>1</v>
      </c>
      <c r="W132">
        <v>3068</v>
      </c>
      <c r="X132">
        <v>3067</v>
      </c>
    </row>
    <row r="133" spans="1:24" x14ac:dyDescent="0.2">
      <c r="A133" t="s">
        <v>720</v>
      </c>
      <c r="B133" t="s">
        <v>31</v>
      </c>
      <c r="C133" t="s">
        <v>721</v>
      </c>
      <c r="D133" t="s">
        <v>722</v>
      </c>
      <c r="G133" t="s">
        <v>136</v>
      </c>
      <c r="H133" t="s">
        <v>137</v>
      </c>
      <c r="I133" t="s">
        <v>138</v>
      </c>
      <c r="J133" t="s">
        <v>91</v>
      </c>
      <c r="K133" s="3" t="b">
        <v>1</v>
      </c>
      <c r="L133" s="3" t="b">
        <v>1</v>
      </c>
      <c r="M133" s="3" t="b">
        <v>0</v>
      </c>
      <c r="N133" s="3" t="b">
        <v>0</v>
      </c>
      <c r="O133" s="3" t="b">
        <v>1</v>
      </c>
      <c r="P133" s="3" t="b">
        <v>0</v>
      </c>
      <c r="Q133" s="3" t="b">
        <v>0</v>
      </c>
      <c r="R133" s="3" t="b">
        <v>1</v>
      </c>
      <c r="S133" s="3" t="b">
        <v>0</v>
      </c>
      <c r="T133">
        <v>3613</v>
      </c>
      <c r="U133">
        <v>149926</v>
      </c>
      <c r="V133">
        <v>1</v>
      </c>
      <c r="W133">
        <v>13077</v>
      </c>
      <c r="X133">
        <v>13076</v>
      </c>
    </row>
    <row r="134" spans="1:24" x14ac:dyDescent="0.2">
      <c r="A134" t="s">
        <v>723</v>
      </c>
      <c r="B134" t="s">
        <v>24</v>
      </c>
      <c r="C134" t="s">
        <v>724</v>
      </c>
      <c r="D134" t="s">
        <v>725</v>
      </c>
      <c r="G134" t="s">
        <v>726</v>
      </c>
      <c r="H134" t="s">
        <v>727</v>
      </c>
      <c r="I134" t="s">
        <v>728</v>
      </c>
      <c r="J134" t="s">
        <v>29</v>
      </c>
      <c r="K134" s="3" t="b">
        <v>1</v>
      </c>
      <c r="L134" s="3" t="b">
        <v>1</v>
      </c>
      <c r="M134" s="3" t="b">
        <v>0</v>
      </c>
      <c r="N134" s="3" t="b">
        <v>0</v>
      </c>
      <c r="O134" s="3" t="b">
        <v>1</v>
      </c>
      <c r="P134" s="3" t="b">
        <v>0</v>
      </c>
      <c r="Q134" s="3" t="b">
        <v>0</v>
      </c>
      <c r="R134" s="3" t="b">
        <v>0</v>
      </c>
      <c r="S134" s="3" t="b">
        <v>0</v>
      </c>
      <c r="T134">
        <v>942</v>
      </c>
      <c r="U134">
        <v>34392</v>
      </c>
      <c r="V134">
        <v>1</v>
      </c>
      <c r="W134">
        <v>2644</v>
      </c>
      <c r="X134">
        <v>2643</v>
      </c>
    </row>
    <row r="135" spans="1:24" x14ac:dyDescent="0.2">
      <c r="A135" t="s">
        <v>729</v>
      </c>
      <c r="B135" t="s">
        <v>24</v>
      </c>
      <c r="C135" t="s">
        <v>730</v>
      </c>
      <c r="D135" t="s">
        <v>731</v>
      </c>
      <c r="F135" t="s">
        <v>732</v>
      </c>
      <c r="G135" t="s">
        <v>733</v>
      </c>
      <c r="H135" t="s">
        <v>734</v>
      </c>
      <c r="I135" t="s">
        <v>42</v>
      </c>
      <c r="J135" t="s">
        <v>43</v>
      </c>
      <c r="K135" s="3" t="b">
        <v>1</v>
      </c>
      <c r="L135" s="3" t="b">
        <v>1</v>
      </c>
      <c r="M135" s="3" t="b">
        <v>0</v>
      </c>
      <c r="N135" s="3" t="b">
        <v>1</v>
      </c>
      <c r="O135" s="3" t="b">
        <v>0</v>
      </c>
      <c r="P135" s="3" t="b">
        <v>0</v>
      </c>
      <c r="Q135" s="3" t="b">
        <v>0</v>
      </c>
      <c r="R135" s="3" t="b">
        <v>0</v>
      </c>
      <c r="S135" s="3" t="b">
        <v>0</v>
      </c>
      <c r="T135">
        <v>782</v>
      </c>
      <c r="U135">
        <v>25052</v>
      </c>
      <c r="V135">
        <v>2</v>
      </c>
      <c r="W135">
        <v>2293</v>
      </c>
      <c r="X135">
        <v>2291</v>
      </c>
    </row>
    <row r="136" spans="1:24" ht="14" customHeight="1" x14ac:dyDescent="0.2">
      <c r="A136" t="s">
        <v>735</v>
      </c>
      <c r="B136" t="s">
        <v>24</v>
      </c>
      <c r="C136" t="s">
        <v>37</v>
      </c>
      <c r="G136" t="s">
        <v>736</v>
      </c>
      <c r="H136" t="s">
        <v>737</v>
      </c>
      <c r="I136" t="s">
        <v>738</v>
      </c>
      <c r="J136" t="s">
        <v>29</v>
      </c>
      <c r="K136" s="3" t="b">
        <v>1</v>
      </c>
      <c r="L136" s="3" t="b">
        <v>1</v>
      </c>
      <c r="M136" s="3" t="b">
        <v>1</v>
      </c>
      <c r="N136" s="3" t="b">
        <v>1</v>
      </c>
      <c r="O136" s="3" t="b">
        <v>1</v>
      </c>
      <c r="P136" s="3" t="b">
        <v>0</v>
      </c>
      <c r="Q136" s="3" t="b">
        <v>0</v>
      </c>
      <c r="R136" s="3" t="b">
        <v>0</v>
      </c>
      <c r="S136" s="3" t="b">
        <v>1</v>
      </c>
      <c r="T136">
        <v>927</v>
      </c>
      <c r="U136">
        <v>34392</v>
      </c>
      <c r="V136">
        <v>1</v>
      </c>
      <c r="W136">
        <v>2659</v>
      </c>
      <c r="X136">
        <v>2658</v>
      </c>
    </row>
    <row r="137" spans="1:24" x14ac:dyDescent="0.2">
      <c r="A137" t="s">
        <v>739</v>
      </c>
      <c r="B137" t="s">
        <v>51</v>
      </c>
      <c r="C137" t="s">
        <v>740</v>
      </c>
      <c r="D137" t="s">
        <v>741</v>
      </c>
      <c r="E137" t="s">
        <v>742</v>
      </c>
      <c r="G137" t="s">
        <v>743</v>
      </c>
      <c r="H137" t="s">
        <v>744</v>
      </c>
      <c r="I137" t="s">
        <v>745</v>
      </c>
      <c r="J137" t="s">
        <v>91</v>
      </c>
      <c r="K137" s="3" t="b">
        <v>1</v>
      </c>
      <c r="L137" s="3" t="b">
        <v>1</v>
      </c>
      <c r="M137" s="3" t="b">
        <v>1</v>
      </c>
      <c r="N137" s="3" t="b">
        <v>1</v>
      </c>
      <c r="O137" s="3" t="b">
        <v>0</v>
      </c>
      <c r="P137" s="3" t="b">
        <v>0</v>
      </c>
      <c r="Q137" s="3" t="b">
        <v>0</v>
      </c>
      <c r="R137" s="3" t="b">
        <v>0</v>
      </c>
      <c r="S137" s="3" t="b">
        <v>0</v>
      </c>
      <c r="T137">
        <v>3935</v>
      </c>
      <c r="U137">
        <v>201480</v>
      </c>
      <c r="V137">
        <v>1</v>
      </c>
      <c r="W137">
        <v>13777</v>
      </c>
      <c r="X137">
        <v>13776</v>
      </c>
    </row>
    <row r="138" spans="1:24" x14ac:dyDescent="0.2">
      <c r="A138" t="s">
        <v>746</v>
      </c>
      <c r="B138" t="s">
        <v>31</v>
      </c>
      <c r="C138" t="s">
        <v>747</v>
      </c>
      <c r="G138" t="s">
        <v>312</v>
      </c>
      <c r="H138" t="s">
        <v>313</v>
      </c>
      <c r="I138" t="s">
        <v>314</v>
      </c>
      <c r="J138" t="s">
        <v>315</v>
      </c>
      <c r="K138" s="3" t="b">
        <v>1</v>
      </c>
      <c r="L138" s="3" t="b">
        <v>0</v>
      </c>
      <c r="M138" s="3" t="b">
        <v>0</v>
      </c>
      <c r="N138" s="3" t="b">
        <v>0</v>
      </c>
      <c r="O138" s="3" t="b">
        <v>0</v>
      </c>
      <c r="P138" s="3" t="b">
        <v>0</v>
      </c>
      <c r="Q138" s="3" t="b">
        <v>0</v>
      </c>
      <c r="R138" s="3" t="b">
        <v>0</v>
      </c>
      <c r="S138" s="3" t="b">
        <v>0</v>
      </c>
      <c r="T138">
        <v>2339</v>
      </c>
      <c r="U138">
        <v>85311</v>
      </c>
      <c r="V138">
        <v>1</v>
      </c>
      <c r="W138">
        <v>7366</v>
      </c>
      <c r="X138">
        <v>7365</v>
      </c>
    </row>
    <row r="139" spans="1:24" x14ac:dyDescent="0.2">
      <c r="A139" t="s">
        <v>748</v>
      </c>
      <c r="B139" t="s">
        <v>24</v>
      </c>
      <c r="C139" t="s">
        <v>145</v>
      </c>
      <c r="G139" t="s">
        <v>749</v>
      </c>
      <c r="H139" t="s">
        <v>750</v>
      </c>
      <c r="I139" t="s">
        <v>79</v>
      </c>
      <c r="J139" t="s">
        <v>29</v>
      </c>
      <c r="K139" s="3" t="b">
        <v>1</v>
      </c>
      <c r="L139" s="3" t="b">
        <v>1</v>
      </c>
      <c r="M139" s="3" t="b">
        <v>0</v>
      </c>
      <c r="N139" s="3" t="b">
        <v>1</v>
      </c>
      <c r="O139" s="3" t="b">
        <v>0</v>
      </c>
      <c r="P139" s="3" t="b">
        <v>0</v>
      </c>
      <c r="Q139" s="3" t="b">
        <v>0</v>
      </c>
      <c r="R139" s="3" t="b">
        <v>0</v>
      </c>
      <c r="S139" s="3" t="b">
        <v>0</v>
      </c>
      <c r="T139">
        <v>2932</v>
      </c>
      <c r="U139">
        <v>99225</v>
      </c>
      <c r="V139">
        <v>1</v>
      </c>
      <c r="W139">
        <v>8625</v>
      </c>
      <c r="X139">
        <v>8624</v>
      </c>
    </row>
    <row r="140" spans="1:24" x14ac:dyDescent="0.2">
      <c r="A140" t="s">
        <v>751</v>
      </c>
      <c r="B140" t="s">
        <v>24</v>
      </c>
      <c r="C140" t="s">
        <v>752</v>
      </c>
      <c r="D140" t="s">
        <v>753</v>
      </c>
      <c r="F140" t="s">
        <v>754</v>
      </c>
      <c r="G140" t="s">
        <v>755</v>
      </c>
      <c r="H140" t="s">
        <v>756</v>
      </c>
      <c r="I140" t="s">
        <v>757</v>
      </c>
      <c r="J140" t="s">
        <v>91</v>
      </c>
      <c r="K140" s="3" t="b">
        <v>1</v>
      </c>
      <c r="L140" s="3" t="b">
        <v>1</v>
      </c>
      <c r="M140" s="3" t="b">
        <v>1</v>
      </c>
      <c r="N140" s="3" t="b">
        <v>1</v>
      </c>
      <c r="O140" s="3" t="b">
        <v>1</v>
      </c>
      <c r="P140" s="3" t="b">
        <v>0</v>
      </c>
      <c r="Q140" s="3" t="b">
        <v>0</v>
      </c>
      <c r="R140" s="3" t="b">
        <v>0</v>
      </c>
      <c r="S140" s="3" t="b">
        <v>0</v>
      </c>
      <c r="T140">
        <v>3141</v>
      </c>
      <c r="U140">
        <v>101979</v>
      </c>
      <c r="V140">
        <v>1</v>
      </c>
      <c r="W140">
        <v>9079</v>
      </c>
      <c r="X140">
        <v>9078</v>
      </c>
    </row>
    <row r="141" spans="1:24" x14ac:dyDescent="0.2">
      <c r="A141" t="s">
        <v>758</v>
      </c>
      <c r="B141" t="s">
        <v>31</v>
      </c>
      <c r="C141" t="s">
        <v>759</v>
      </c>
      <c r="D141" t="s">
        <v>760</v>
      </c>
      <c r="G141" t="s">
        <v>522</v>
      </c>
      <c r="H141" t="s">
        <v>523</v>
      </c>
      <c r="I141" t="s">
        <v>524</v>
      </c>
      <c r="J141" t="s">
        <v>91</v>
      </c>
      <c r="K141" s="3" t="b">
        <v>1</v>
      </c>
      <c r="L141" s="3" t="b">
        <v>0</v>
      </c>
      <c r="M141" s="3" t="b">
        <v>0</v>
      </c>
      <c r="N141" s="3" t="b">
        <v>0</v>
      </c>
      <c r="O141" s="3" t="b">
        <v>0</v>
      </c>
      <c r="P141" s="3" t="b">
        <v>0</v>
      </c>
      <c r="Q141" s="3" t="b">
        <v>0</v>
      </c>
      <c r="R141" s="3" t="b">
        <v>0</v>
      </c>
      <c r="S141" s="3" t="b">
        <v>0</v>
      </c>
      <c r="T141">
        <v>771</v>
      </c>
      <c r="U141">
        <v>23507</v>
      </c>
      <c r="V141">
        <v>1</v>
      </c>
      <c r="W141">
        <v>2110</v>
      </c>
      <c r="X141">
        <v>2109</v>
      </c>
    </row>
    <row r="142" spans="1:24" x14ac:dyDescent="0.2">
      <c r="A142" t="s">
        <v>761</v>
      </c>
      <c r="B142" t="s">
        <v>58</v>
      </c>
      <c r="C142" t="s">
        <v>246</v>
      </c>
      <c r="G142" t="s">
        <v>242</v>
      </c>
      <c r="H142" t="s">
        <v>243</v>
      </c>
      <c r="I142" t="s">
        <v>244</v>
      </c>
      <c r="J142" t="s">
        <v>91</v>
      </c>
      <c r="K142" s="3" t="b">
        <v>1</v>
      </c>
      <c r="L142" s="3" t="b">
        <v>0</v>
      </c>
      <c r="M142" s="3" t="b">
        <v>0</v>
      </c>
      <c r="N142" s="3" t="b">
        <v>0</v>
      </c>
      <c r="O142" s="3" t="b">
        <v>0</v>
      </c>
      <c r="P142" s="3" t="b">
        <v>0</v>
      </c>
      <c r="Q142" s="3" t="b">
        <v>0</v>
      </c>
      <c r="R142" s="3" t="b">
        <v>0</v>
      </c>
      <c r="S142" s="3" t="b">
        <v>0</v>
      </c>
      <c r="T142">
        <v>4027</v>
      </c>
      <c r="U142">
        <v>212418</v>
      </c>
      <c r="V142">
        <v>1</v>
      </c>
      <c r="W142">
        <v>14520</v>
      </c>
      <c r="X142">
        <v>14519</v>
      </c>
    </row>
    <row r="143" spans="1:24" x14ac:dyDescent="0.2">
      <c r="A143" t="s">
        <v>762</v>
      </c>
      <c r="B143" t="s">
        <v>24</v>
      </c>
      <c r="C143" t="s">
        <v>763</v>
      </c>
      <c r="G143" t="s">
        <v>141</v>
      </c>
      <c r="H143" t="s">
        <v>142</v>
      </c>
      <c r="I143" t="s">
        <v>143</v>
      </c>
      <c r="J143" t="s">
        <v>29</v>
      </c>
      <c r="K143" s="3" t="b">
        <v>1</v>
      </c>
      <c r="L143" s="3" t="b">
        <v>1</v>
      </c>
      <c r="M143" s="3" t="b">
        <v>0</v>
      </c>
      <c r="N143" s="3" t="b">
        <v>1</v>
      </c>
      <c r="O143" s="3" t="b">
        <v>0</v>
      </c>
      <c r="P143" s="3" t="b">
        <v>0</v>
      </c>
      <c r="Q143" s="3" t="b">
        <v>0</v>
      </c>
      <c r="R143" s="3" t="b">
        <v>0</v>
      </c>
      <c r="S143" s="3" t="b">
        <v>0</v>
      </c>
      <c r="T143">
        <v>4368</v>
      </c>
      <c r="U143">
        <v>268650</v>
      </c>
      <c r="V143">
        <v>1</v>
      </c>
      <c r="W143">
        <v>15465</v>
      </c>
      <c r="X143">
        <v>15464</v>
      </c>
    </row>
    <row r="144" spans="1:24" x14ac:dyDescent="0.2">
      <c r="A144" t="s">
        <v>764</v>
      </c>
      <c r="B144" t="s">
        <v>24</v>
      </c>
      <c r="C144" t="s">
        <v>765</v>
      </c>
      <c r="G144" t="s">
        <v>766</v>
      </c>
      <c r="H144" t="s">
        <v>767</v>
      </c>
      <c r="I144" t="s">
        <v>693</v>
      </c>
      <c r="J144" t="s">
        <v>29</v>
      </c>
      <c r="K144" s="3" t="b">
        <v>1</v>
      </c>
      <c r="L144" s="3" t="b">
        <v>1</v>
      </c>
      <c r="M144" s="3" t="b">
        <v>0</v>
      </c>
      <c r="N144" s="3" t="b">
        <v>1</v>
      </c>
      <c r="O144" s="3" t="b">
        <v>1</v>
      </c>
      <c r="P144" s="3" t="b">
        <v>0</v>
      </c>
      <c r="Q144" s="3" t="b">
        <v>0</v>
      </c>
      <c r="R144" s="3" t="b">
        <v>0</v>
      </c>
      <c r="S144" s="3" t="b">
        <v>0</v>
      </c>
      <c r="T144">
        <v>39</v>
      </c>
      <c r="U144">
        <v>2403</v>
      </c>
      <c r="V144">
        <v>1</v>
      </c>
      <c r="W144">
        <v>147</v>
      </c>
      <c r="X144">
        <v>146</v>
      </c>
    </row>
    <row r="145" spans="1:24" x14ac:dyDescent="0.2">
      <c r="A145" t="s">
        <v>768</v>
      </c>
      <c r="B145" t="s">
        <v>24</v>
      </c>
      <c r="C145" t="s">
        <v>769</v>
      </c>
      <c r="G145" t="s">
        <v>154</v>
      </c>
      <c r="H145" t="s">
        <v>155</v>
      </c>
      <c r="I145" t="s">
        <v>156</v>
      </c>
      <c r="J145" t="s">
        <v>29</v>
      </c>
      <c r="K145" s="3" t="b">
        <v>1</v>
      </c>
      <c r="L145" s="3" t="b">
        <v>1</v>
      </c>
      <c r="M145" s="3" t="b">
        <v>0</v>
      </c>
      <c r="N145" s="3" t="b">
        <v>1</v>
      </c>
      <c r="O145" s="3" t="b">
        <v>1</v>
      </c>
      <c r="P145" s="3" t="b">
        <v>0</v>
      </c>
      <c r="Q145" s="3" t="b">
        <v>0</v>
      </c>
      <c r="R145" s="3" t="b">
        <v>0</v>
      </c>
      <c r="S145" s="3" t="b">
        <v>0</v>
      </c>
      <c r="T145">
        <v>40</v>
      </c>
      <c r="U145">
        <v>2403</v>
      </c>
      <c r="V145">
        <v>1</v>
      </c>
      <c r="W145">
        <v>146</v>
      </c>
      <c r="X145">
        <v>145</v>
      </c>
    </row>
    <row r="146" spans="1:24" x14ac:dyDescent="0.2">
      <c r="A146" t="s">
        <v>770</v>
      </c>
      <c r="B146" t="s">
        <v>24</v>
      </c>
      <c r="C146" t="s">
        <v>771</v>
      </c>
      <c r="G146" t="s">
        <v>772</v>
      </c>
      <c r="H146" t="s">
        <v>773</v>
      </c>
      <c r="I146" t="s">
        <v>774</v>
      </c>
      <c r="J146" t="s">
        <v>29</v>
      </c>
      <c r="K146" s="3" t="b">
        <v>1</v>
      </c>
      <c r="L146" s="3" t="b">
        <v>1</v>
      </c>
      <c r="M146" s="3" t="b">
        <v>0</v>
      </c>
      <c r="N146" s="3" t="b">
        <v>1</v>
      </c>
      <c r="O146" s="3" t="b">
        <v>1</v>
      </c>
      <c r="P146" s="3" t="b">
        <v>0</v>
      </c>
      <c r="Q146" s="3" t="b">
        <v>0</v>
      </c>
      <c r="R146" s="3" t="b">
        <v>0</v>
      </c>
      <c r="S146" s="3" t="b">
        <v>0</v>
      </c>
      <c r="T146">
        <v>35</v>
      </c>
      <c r="U146">
        <v>2403</v>
      </c>
      <c r="V146">
        <v>1</v>
      </c>
      <c r="W146">
        <v>151</v>
      </c>
      <c r="X146">
        <v>150</v>
      </c>
    </row>
    <row r="147" spans="1:24" x14ac:dyDescent="0.2">
      <c r="A147" t="s">
        <v>775</v>
      </c>
      <c r="B147" t="s">
        <v>58</v>
      </c>
      <c r="C147" t="s">
        <v>776</v>
      </c>
      <c r="D147">
        <f>1</f>
        <v>1</v>
      </c>
      <c r="G147" t="s">
        <v>777</v>
      </c>
      <c r="H147" t="s">
        <v>778</v>
      </c>
      <c r="I147" t="s">
        <v>779</v>
      </c>
      <c r="J147" t="s">
        <v>780</v>
      </c>
      <c r="K147" s="3" t="b">
        <v>1</v>
      </c>
      <c r="L147" s="3" t="b">
        <v>0</v>
      </c>
      <c r="M147" s="3" t="b">
        <v>0</v>
      </c>
      <c r="N147" s="3" t="b">
        <v>0</v>
      </c>
      <c r="O147" s="3" t="b">
        <v>0</v>
      </c>
      <c r="P147" s="3" t="b">
        <v>0</v>
      </c>
      <c r="Q147" s="3" t="b">
        <v>0</v>
      </c>
      <c r="R147" s="3" t="b">
        <v>0</v>
      </c>
      <c r="S147" s="3" t="b">
        <v>0</v>
      </c>
      <c r="T147">
        <v>2077</v>
      </c>
      <c r="U147">
        <v>72168</v>
      </c>
      <c r="V147">
        <v>1</v>
      </c>
      <c r="W147">
        <v>6461</v>
      </c>
      <c r="X147">
        <v>6460</v>
      </c>
    </row>
    <row r="148" spans="1:24" x14ac:dyDescent="0.2">
      <c r="A148" t="s">
        <v>781</v>
      </c>
      <c r="B148" t="s">
        <v>24</v>
      </c>
      <c r="C148" t="s">
        <v>782</v>
      </c>
      <c r="D148" t="s">
        <v>783</v>
      </c>
      <c r="F148" t="s">
        <v>784</v>
      </c>
      <c r="G148" t="s">
        <v>528</v>
      </c>
      <c r="H148" t="s">
        <v>529</v>
      </c>
      <c r="I148" t="s">
        <v>530</v>
      </c>
      <c r="J148" t="s">
        <v>29</v>
      </c>
      <c r="K148" s="3" t="b">
        <v>1</v>
      </c>
      <c r="L148" s="3" t="b">
        <v>1</v>
      </c>
      <c r="M148" s="3" t="b">
        <v>0</v>
      </c>
      <c r="N148" s="3" t="b">
        <v>1</v>
      </c>
      <c r="O148" s="3" t="b">
        <v>0</v>
      </c>
      <c r="P148" s="3" t="b">
        <v>0</v>
      </c>
      <c r="Q148" s="3" t="b">
        <v>0</v>
      </c>
      <c r="R148" s="3" t="b">
        <v>0</v>
      </c>
      <c r="S148" s="3" t="b">
        <v>0</v>
      </c>
      <c r="T148">
        <v>937</v>
      </c>
      <c r="U148">
        <v>34392</v>
      </c>
      <c r="V148">
        <v>1</v>
      </c>
      <c r="W148">
        <v>2649</v>
      </c>
      <c r="X148">
        <v>2648</v>
      </c>
    </row>
    <row r="149" spans="1:24" x14ac:dyDescent="0.2">
      <c r="A149" t="s">
        <v>785</v>
      </c>
      <c r="B149" t="s">
        <v>24</v>
      </c>
      <c r="C149" t="s">
        <v>425</v>
      </c>
      <c r="D149" t="s">
        <v>786</v>
      </c>
      <c r="F149" t="s">
        <v>787</v>
      </c>
      <c r="G149" t="s">
        <v>469</v>
      </c>
      <c r="H149" t="s">
        <v>470</v>
      </c>
      <c r="I149" t="s">
        <v>355</v>
      </c>
      <c r="J149" t="s">
        <v>29</v>
      </c>
      <c r="K149" s="3" t="b">
        <v>1</v>
      </c>
      <c r="L149" s="3" t="b">
        <v>1</v>
      </c>
      <c r="M149" s="3" t="b">
        <v>0</v>
      </c>
      <c r="N149" s="3" t="b">
        <v>1</v>
      </c>
      <c r="O149" s="3" t="b">
        <v>0</v>
      </c>
      <c r="P149" s="3" t="b">
        <v>0</v>
      </c>
      <c r="Q149" s="3" t="b">
        <v>0</v>
      </c>
      <c r="R149" s="3" t="b">
        <v>0</v>
      </c>
      <c r="S149" s="3" t="b">
        <v>0</v>
      </c>
      <c r="T149">
        <v>2840</v>
      </c>
      <c r="U149">
        <v>97616</v>
      </c>
      <c r="V149">
        <v>1</v>
      </c>
      <c r="W149">
        <v>8469</v>
      </c>
      <c r="X149">
        <v>8468</v>
      </c>
    </row>
    <row r="150" spans="1:24" x14ac:dyDescent="0.2">
      <c r="A150" t="s">
        <v>788</v>
      </c>
      <c r="B150" t="s">
        <v>58</v>
      </c>
      <c r="C150" t="s">
        <v>789</v>
      </c>
      <c r="G150" t="s">
        <v>790</v>
      </c>
      <c r="H150" t="s">
        <v>791</v>
      </c>
      <c r="I150" t="s">
        <v>319</v>
      </c>
      <c r="J150" t="s">
        <v>29</v>
      </c>
      <c r="K150" s="3" t="b">
        <v>1</v>
      </c>
      <c r="L150" s="3" t="b">
        <v>0</v>
      </c>
      <c r="M150" s="3" t="b">
        <v>0</v>
      </c>
      <c r="N150" s="3" t="b">
        <v>0</v>
      </c>
      <c r="O150" s="3" t="b">
        <v>0</v>
      </c>
      <c r="P150" s="3" t="b">
        <v>0</v>
      </c>
      <c r="Q150" s="3" t="b">
        <v>0</v>
      </c>
      <c r="R150" s="3" t="b">
        <v>0</v>
      </c>
      <c r="S150" s="3" t="b">
        <v>0</v>
      </c>
      <c r="T150">
        <v>1463</v>
      </c>
      <c r="U150">
        <v>55589</v>
      </c>
      <c r="V150">
        <v>1</v>
      </c>
      <c r="W150">
        <v>4571</v>
      </c>
      <c r="X150">
        <v>4570</v>
      </c>
    </row>
    <row r="151" spans="1:24" x14ac:dyDescent="0.2">
      <c r="A151" t="s">
        <v>792</v>
      </c>
      <c r="B151" t="s">
        <v>24</v>
      </c>
      <c r="C151" t="s">
        <v>425</v>
      </c>
      <c r="G151" t="s">
        <v>372</v>
      </c>
      <c r="H151" t="s">
        <v>373</v>
      </c>
      <c r="I151" t="s">
        <v>156</v>
      </c>
      <c r="J151" t="s">
        <v>29</v>
      </c>
      <c r="K151" s="3" t="b">
        <v>1</v>
      </c>
      <c r="L151" s="3" t="b">
        <v>1</v>
      </c>
      <c r="M151" s="3" t="b">
        <v>0</v>
      </c>
      <c r="N151" s="3" t="b">
        <v>1</v>
      </c>
      <c r="O151" s="3" t="b">
        <v>1</v>
      </c>
      <c r="P151" s="3" t="b">
        <v>0</v>
      </c>
      <c r="Q151" s="3" t="b">
        <v>0</v>
      </c>
      <c r="R151" s="3" t="b">
        <v>0</v>
      </c>
      <c r="S151" s="3" t="b">
        <v>0</v>
      </c>
      <c r="T151">
        <v>40</v>
      </c>
      <c r="U151">
        <v>2403</v>
      </c>
      <c r="V151">
        <v>1</v>
      </c>
      <c r="W151">
        <v>146</v>
      </c>
      <c r="X151">
        <v>145</v>
      </c>
    </row>
    <row r="152" spans="1:24" x14ac:dyDescent="0.2">
      <c r="A152" t="s">
        <v>793</v>
      </c>
      <c r="B152" t="s">
        <v>58</v>
      </c>
      <c r="C152" t="s">
        <v>794</v>
      </c>
      <c r="D152" t="s">
        <v>795</v>
      </c>
      <c r="G152" t="s">
        <v>796</v>
      </c>
      <c r="H152" t="s">
        <v>797</v>
      </c>
      <c r="I152" t="s">
        <v>798</v>
      </c>
      <c r="J152" t="s">
        <v>91</v>
      </c>
      <c r="K152" s="3" t="b">
        <v>1</v>
      </c>
      <c r="L152" s="3" t="b">
        <v>1</v>
      </c>
      <c r="M152" s="3" t="b">
        <v>0</v>
      </c>
      <c r="N152" s="3" t="b">
        <v>1</v>
      </c>
      <c r="O152" s="3" t="b">
        <v>1</v>
      </c>
      <c r="P152" s="3" t="b">
        <v>0</v>
      </c>
      <c r="Q152" s="3" t="b">
        <v>0</v>
      </c>
      <c r="R152" s="3" t="b">
        <v>0</v>
      </c>
      <c r="S152" s="3" t="b">
        <v>0</v>
      </c>
      <c r="T152">
        <v>268</v>
      </c>
      <c r="U152">
        <v>11941</v>
      </c>
      <c r="V152">
        <v>1</v>
      </c>
      <c r="W152">
        <v>909</v>
      </c>
      <c r="X152">
        <v>908</v>
      </c>
    </row>
    <row r="153" spans="1:24" x14ac:dyDescent="0.2">
      <c r="A153" t="s">
        <v>799</v>
      </c>
      <c r="B153" t="s">
        <v>24</v>
      </c>
      <c r="C153" t="s">
        <v>336</v>
      </c>
      <c r="D153" t="s">
        <v>800</v>
      </c>
      <c r="G153" t="s">
        <v>726</v>
      </c>
      <c r="H153" t="s">
        <v>727</v>
      </c>
      <c r="I153" t="s">
        <v>728</v>
      </c>
      <c r="J153" t="s">
        <v>29</v>
      </c>
      <c r="K153" s="3" t="b">
        <v>1</v>
      </c>
      <c r="L153" s="3" t="b">
        <v>1</v>
      </c>
      <c r="M153" s="3" t="b">
        <v>0</v>
      </c>
      <c r="N153" s="3" t="b">
        <v>1</v>
      </c>
      <c r="O153" s="3" t="b">
        <v>1</v>
      </c>
      <c r="P153" s="3" t="b">
        <v>0</v>
      </c>
      <c r="Q153" s="3" t="b">
        <v>0</v>
      </c>
      <c r="R153" s="3" t="b">
        <v>0</v>
      </c>
      <c r="S153" s="3" t="b">
        <v>0</v>
      </c>
      <c r="T153">
        <v>942</v>
      </c>
      <c r="U153">
        <v>34392</v>
      </c>
      <c r="V153">
        <v>1</v>
      </c>
      <c r="W153">
        <v>2644</v>
      </c>
      <c r="X153">
        <v>2643</v>
      </c>
    </row>
    <row r="154" spans="1:24" x14ac:dyDescent="0.2">
      <c r="A154" t="s">
        <v>801</v>
      </c>
      <c r="B154" t="s">
        <v>24</v>
      </c>
      <c r="C154" t="s">
        <v>425</v>
      </c>
      <c r="G154" t="s">
        <v>802</v>
      </c>
      <c r="H154" t="s">
        <v>803</v>
      </c>
      <c r="I154" t="s">
        <v>804</v>
      </c>
      <c r="J154" t="s">
        <v>29</v>
      </c>
      <c r="K154" s="3" t="b">
        <v>1</v>
      </c>
      <c r="L154" s="3" t="b">
        <v>1</v>
      </c>
      <c r="M154" s="3" t="b">
        <v>1</v>
      </c>
      <c r="N154" s="3" t="b">
        <v>1</v>
      </c>
      <c r="O154" s="3" t="b">
        <v>1</v>
      </c>
      <c r="P154" s="3" t="b">
        <v>0</v>
      </c>
      <c r="Q154" s="3" t="b">
        <v>0</v>
      </c>
      <c r="R154" s="3" t="b">
        <v>0</v>
      </c>
      <c r="S154" s="3" t="b">
        <v>0</v>
      </c>
      <c r="T154">
        <v>2863</v>
      </c>
      <c r="U154">
        <v>97877</v>
      </c>
      <c r="V154">
        <v>1</v>
      </c>
      <c r="W154">
        <v>8515</v>
      </c>
      <c r="X154">
        <v>8514</v>
      </c>
    </row>
    <row r="155" spans="1:24" x14ac:dyDescent="0.2">
      <c r="A155" t="s">
        <v>805</v>
      </c>
      <c r="B155" t="s">
        <v>24</v>
      </c>
      <c r="C155" t="s">
        <v>405</v>
      </c>
      <c r="D155" t="s">
        <v>741</v>
      </c>
      <c r="F155" t="s">
        <v>806</v>
      </c>
      <c r="G155" t="s">
        <v>807</v>
      </c>
      <c r="H155" t="s">
        <v>808</v>
      </c>
      <c r="I155" t="s">
        <v>290</v>
      </c>
      <c r="J155" t="s">
        <v>91</v>
      </c>
      <c r="K155" s="3" t="b">
        <v>1</v>
      </c>
      <c r="L155" s="3" t="b">
        <v>1</v>
      </c>
      <c r="M155" s="3" t="b">
        <v>0</v>
      </c>
      <c r="N155" s="3" t="b">
        <v>1</v>
      </c>
      <c r="O155" s="3" t="b">
        <v>0</v>
      </c>
      <c r="P155" s="3" t="b">
        <v>0</v>
      </c>
      <c r="Q155" s="3" t="b">
        <v>0</v>
      </c>
      <c r="R155" s="3" t="b">
        <v>0</v>
      </c>
      <c r="S155" s="3" t="b">
        <v>0</v>
      </c>
      <c r="T155">
        <v>1231</v>
      </c>
      <c r="U155">
        <v>46785</v>
      </c>
      <c r="V155">
        <v>1</v>
      </c>
      <c r="W155">
        <v>3373</v>
      </c>
      <c r="X155">
        <v>3372</v>
      </c>
    </row>
    <row r="156" spans="1:24" x14ac:dyDescent="0.2">
      <c r="A156" t="s">
        <v>809</v>
      </c>
      <c r="B156" t="s">
        <v>31</v>
      </c>
      <c r="C156" t="s">
        <v>810</v>
      </c>
      <c r="G156" t="s">
        <v>811</v>
      </c>
      <c r="H156" t="s">
        <v>812</v>
      </c>
      <c r="I156" t="s">
        <v>715</v>
      </c>
      <c r="J156" t="s">
        <v>29</v>
      </c>
      <c r="K156" s="3" t="b">
        <v>1</v>
      </c>
      <c r="L156" s="3" t="b">
        <v>0</v>
      </c>
      <c r="M156" s="3" t="b">
        <v>0</v>
      </c>
      <c r="N156" s="3" t="b">
        <v>0</v>
      </c>
      <c r="O156" s="3" t="b">
        <v>0</v>
      </c>
      <c r="P156" s="3" t="b">
        <v>0</v>
      </c>
      <c r="Q156" s="3" t="b">
        <v>0</v>
      </c>
      <c r="R156" s="3" t="b">
        <v>0</v>
      </c>
      <c r="S156" s="3" t="b">
        <v>0</v>
      </c>
      <c r="T156">
        <v>2866</v>
      </c>
      <c r="U156">
        <v>97877</v>
      </c>
      <c r="V156">
        <v>1</v>
      </c>
      <c r="W156">
        <v>8512</v>
      </c>
      <c r="X156">
        <v>8511</v>
      </c>
    </row>
    <row r="157" spans="1:24" ht="14" customHeight="1" x14ac:dyDescent="0.2">
      <c r="A157" t="s">
        <v>813</v>
      </c>
      <c r="B157" t="s">
        <v>51</v>
      </c>
      <c r="C157" t="s">
        <v>814</v>
      </c>
      <c r="E157" t="s">
        <v>655</v>
      </c>
      <c r="G157" t="s">
        <v>815</v>
      </c>
      <c r="H157" t="s">
        <v>816</v>
      </c>
      <c r="I157" t="s">
        <v>150</v>
      </c>
      <c r="J157" t="s">
        <v>151</v>
      </c>
      <c r="K157" s="3" t="b">
        <v>1</v>
      </c>
      <c r="L157" s="3" t="b">
        <v>1</v>
      </c>
      <c r="M157" s="3" t="b">
        <v>1</v>
      </c>
      <c r="N157" s="3" t="b">
        <v>1</v>
      </c>
      <c r="O157" s="3" t="b">
        <v>1</v>
      </c>
      <c r="P157" s="3" t="b">
        <v>0</v>
      </c>
      <c r="Q157" s="3" t="b">
        <v>0</v>
      </c>
      <c r="R157" s="3" t="b">
        <v>0</v>
      </c>
      <c r="S157" s="3" t="b">
        <v>0</v>
      </c>
      <c r="T157">
        <v>1469</v>
      </c>
      <c r="U157">
        <v>55589</v>
      </c>
      <c r="V157">
        <v>1</v>
      </c>
      <c r="W157">
        <v>4565</v>
      </c>
      <c r="X157">
        <v>4564</v>
      </c>
    </row>
    <row r="158" spans="1:24" x14ac:dyDescent="0.2">
      <c r="A158" t="s">
        <v>817</v>
      </c>
      <c r="B158" t="s">
        <v>31</v>
      </c>
      <c r="C158" t="s">
        <v>818</v>
      </c>
      <c r="G158" t="s">
        <v>819</v>
      </c>
      <c r="H158" t="s">
        <v>820</v>
      </c>
      <c r="I158" t="s">
        <v>821</v>
      </c>
      <c r="J158" t="s">
        <v>29</v>
      </c>
      <c r="K158" s="3" t="b">
        <v>1</v>
      </c>
      <c r="L158" s="3" t="b">
        <v>1</v>
      </c>
      <c r="M158" s="3" t="b">
        <v>0</v>
      </c>
      <c r="N158" s="3" t="b">
        <v>1</v>
      </c>
      <c r="O158" s="3" t="b">
        <v>0</v>
      </c>
      <c r="P158" s="3" t="b">
        <v>0</v>
      </c>
      <c r="Q158" s="3" t="b">
        <v>0</v>
      </c>
      <c r="R158" s="3" t="b">
        <v>0</v>
      </c>
      <c r="S158" s="3" t="b">
        <v>0</v>
      </c>
      <c r="T158">
        <v>130</v>
      </c>
      <c r="U158">
        <v>7991</v>
      </c>
      <c r="V158">
        <v>1</v>
      </c>
      <c r="W158">
        <v>693</v>
      </c>
      <c r="X158">
        <v>692</v>
      </c>
    </row>
    <row r="159" spans="1:24" x14ac:dyDescent="0.2">
      <c r="A159" t="s">
        <v>822</v>
      </c>
      <c r="B159" t="s">
        <v>51</v>
      </c>
      <c r="C159" t="s">
        <v>275</v>
      </c>
      <c r="E159" t="s">
        <v>823</v>
      </c>
      <c r="G159" t="s">
        <v>824</v>
      </c>
      <c r="H159" t="s">
        <v>825</v>
      </c>
      <c r="I159" t="s">
        <v>826</v>
      </c>
      <c r="J159" t="s">
        <v>91</v>
      </c>
      <c r="K159" s="3" t="b">
        <v>1</v>
      </c>
      <c r="L159" s="3" t="b">
        <v>1</v>
      </c>
      <c r="M159" s="3" t="b">
        <v>1</v>
      </c>
      <c r="N159" s="3" t="b">
        <v>1</v>
      </c>
      <c r="O159" s="3" t="b">
        <v>1</v>
      </c>
      <c r="P159" s="3" t="b">
        <v>0</v>
      </c>
      <c r="Q159" s="3" t="b">
        <v>0</v>
      </c>
      <c r="R159" s="3" t="b">
        <v>0</v>
      </c>
      <c r="S159" s="3" t="b">
        <v>0</v>
      </c>
      <c r="T159">
        <v>3732</v>
      </c>
      <c r="U159">
        <v>162404</v>
      </c>
      <c r="V159">
        <v>1</v>
      </c>
      <c r="W159">
        <v>13315</v>
      </c>
      <c r="X159">
        <v>13314</v>
      </c>
    </row>
    <row r="160" spans="1:24" x14ac:dyDescent="0.2">
      <c r="A160" t="s">
        <v>827</v>
      </c>
      <c r="B160" t="s">
        <v>31</v>
      </c>
      <c r="C160" t="s">
        <v>828</v>
      </c>
      <c r="G160" t="s">
        <v>829</v>
      </c>
      <c r="H160" t="s">
        <v>830</v>
      </c>
      <c r="I160" t="s">
        <v>48</v>
      </c>
      <c r="J160" t="s">
        <v>831</v>
      </c>
      <c r="K160" s="3" t="b">
        <v>1</v>
      </c>
      <c r="L160" s="3" t="b">
        <v>0</v>
      </c>
      <c r="M160" s="3" t="b">
        <v>0</v>
      </c>
      <c r="N160" s="3" t="b">
        <v>0</v>
      </c>
      <c r="O160" s="3" t="b">
        <v>0</v>
      </c>
      <c r="P160" s="3" t="b">
        <v>0</v>
      </c>
      <c r="Q160" s="3" t="b">
        <v>0</v>
      </c>
      <c r="R160" s="3" t="b">
        <v>0</v>
      </c>
      <c r="S160" s="3" t="b">
        <v>0</v>
      </c>
      <c r="T160">
        <v>3559</v>
      </c>
      <c r="U160">
        <v>140184</v>
      </c>
      <c r="V160">
        <v>1</v>
      </c>
      <c r="W160">
        <v>12708</v>
      </c>
      <c r="X160">
        <v>12707</v>
      </c>
    </row>
    <row r="161" spans="1:24" x14ac:dyDescent="0.2">
      <c r="A161" t="s">
        <v>832</v>
      </c>
      <c r="B161" t="s">
        <v>31</v>
      </c>
      <c r="C161" t="s">
        <v>833</v>
      </c>
      <c r="D161" t="s">
        <v>834</v>
      </c>
      <c r="G161" t="s">
        <v>100</v>
      </c>
      <c r="H161" t="s">
        <v>101</v>
      </c>
      <c r="I161" t="s">
        <v>102</v>
      </c>
      <c r="J161" t="s">
        <v>91</v>
      </c>
      <c r="K161" s="3" t="b">
        <v>1</v>
      </c>
      <c r="L161" s="3" t="b">
        <v>1</v>
      </c>
      <c r="M161" s="3" t="b">
        <v>0</v>
      </c>
      <c r="N161" s="3" t="b">
        <v>1</v>
      </c>
      <c r="O161" s="3" t="b">
        <v>0</v>
      </c>
      <c r="P161" s="3" t="b">
        <v>0</v>
      </c>
      <c r="Q161" s="3" t="b">
        <v>0</v>
      </c>
      <c r="R161" s="3" t="b">
        <v>0</v>
      </c>
      <c r="S161" s="3" t="b">
        <v>0</v>
      </c>
      <c r="T161">
        <v>2265</v>
      </c>
      <c r="U161">
        <v>77688</v>
      </c>
      <c r="V161">
        <v>2</v>
      </c>
      <c r="W161">
        <v>7043</v>
      </c>
      <c r="X161">
        <v>7042</v>
      </c>
    </row>
    <row r="162" spans="1:24" x14ac:dyDescent="0.2">
      <c r="A162" t="s">
        <v>835</v>
      </c>
      <c r="B162" t="s">
        <v>58</v>
      </c>
      <c r="C162" t="s">
        <v>836</v>
      </c>
      <c r="G162" t="s">
        <v>837</v>
      </c>
      <c r="H162" t="s">
        <v>838</v>
      </c>
      <c r="I162" t="s">
        <v>62</v>
      </c>
      <c r="J162" t="s">
        <v>63</v>
      </c>
      <c r="K162" s="3" t="b">
        <v>1</v>
      </c>
      <c r="L162" s="3" t="b">
        <v>1</v>
      </c>
      <c r="M162" s="3" t="b">
        <v>0</v>
      </c>
      <c r="N162" s="3" t="b">
        <v>1</v>
      </c>
      <c r="O162" s="3" t="b">
        <v>0</v>
      </c>
      <c r="P162" s="3" t="b">
        <v>0</v>
      </c>
      <c r="Q162" s="3" t="b">
        <v>0</v>
      </c>
      <c r="R162" s="3" t="b">
        <v>0</v>
      </c>
      <c r="S162" s="3" t="b">
        <v>0</v>
      </c>
      <c r="T162">
        <v>2961</v>
      </c>
      <c r="U162">
        <v>100900</v>
      </c>
      <c r="V162">
        <v>2</v>
      </c>
      <c r="W162">
        <v>8835</v>
      </c>
      <c r="X162">
        <v>8834</v>
      </c>
    </row>
    <row r="163" spans="1:24" x14ac:dyDescent="0.2">
      <c r="A163" t="s">
        <v>839</v>
      </c>
      <c r="B163" t="s">
        <v>58</v>
      </c>
      <c r="C163" t="s">
        <v>840</v>
      </c>
      <c r="G163" t="s">
        <v>293</v>
      </c>
      <c r="H163" t="s">
        <v>294</v>
      </c>
      <c r="I163" t="s">
        <v>295</v>
      </c>
      <c r="J163" t="s">
        <v>29</v>
      </c>
      <c r="K163" s="3" t="b">
        <v>1</v>
      </c>
      <c r="L163" s="3" t="b">
        <v>1</v>
      </c>
      <c r="M163" s="3" t="b">
        <v>0</v>
      </c>
      <c r="N163" s="3" t="b">
        <v>1</v>
      </c>
      <c r="O163" s="3" t="b">
        <v>1</v>
      </c>
      <c r="P163" s="3" t="b">
        <v>0</v>
      </c>
      <c r="Q163" s="3" t="b">
        <v>0</v>
      </c>
      <c r="R163" s="3" t="b">
        <v>0</v>
      </c>
      <c r="S163" s="3" t="b">
        <v>0</v>
      </c>
      <c r="T163">
        <v>34</v>
      </c>
      <c r="U163">
        <v>2403</v>
      </c>
      <c r="V163">
        <v>1</v>
      </c>
      <c r="W163">
        <v>152</v>
      </c>
      <c r="X163">
        <v>151</v>
      </c>
    </row>
    <row r="164" spans="1:24" ht="16" customHeight="1" x14ac:dyDescent="0.2">
      <c r="A164" t="s">
        <v>841</v>
      </c>
      <c r="B164" t="s">
        <v>31</v>
      </c>
      <c r="C164" t="s">
        <v>842</v>
      </c>
      <c r="G164" t="s">
        <v>843</v>
      </c>
      <c r="H164" t="s">
        <v>844</v>
      </c>
      <c r="I164" t="s">
        <v>845</v>
      </c>
      <c r="J164" t="s">
        <v>91</v>
      </c>
      <c r="K164" s="3" t="b">
        <v>1</v>
      </c>
      <c r="L164" s="3" t="b">
        <v>1</v>
      </c>
      <c r="M164" s="3" t="b">
        <v>1</v>
      </c>
      <c r="N164" s="3" t="b">
        <v>1</v>
      </c>
      <c r="O164" s="3" t="b">
        <v>1</v>
      </c>
      <c r="P164" s="3" t="b">
        <v>1</v>
      </c>
      <c r="Q164" s="3" t="b">
        <v>0</v>
      </c>
      <c r="R164" s="3" t="b">
        <v>0</v>
      </c>
      <c r="S164" s="3" t="b">
        <v>1</v>
      </c>
      <c r="T164">
        <v>1003</v>
      </c>
      <c r="U164">
        <v>35685</v>
      </c>
      <c r="V164">
        <v>1</v>
      </c>
      <c r="W164">
        <v>2733</v>
      </c>
      <c r="X164">
        <v>2732</v>
      </c>
    </row>
    <row r="165" spans="1:24" x14ac:dyDescent="0.2">
      <c r="A165" t="s">
        <v>846</v>
      </c>
      <c r="B165" t="s">
        <v>24</v>
      </c>
      <c r="C165" t="s">
        <v>246</v>
      </c>
      <c r="D165" t="s">
        <v>847</v>
      </c>
      <c r="F165" t="s">
        <v>848</v>
      </c>
      <c r="G165" t="s">
        <v>849</v>
      </c>
      <c r="H165" t="s">
        <v>850</v>
      </c>
      <c r="I165" t="s">
        <v>851</v>
      </c>
      <c r="J165" t="s">
        <v>91</v>
      </c>
      <c r="K165" s="3" t="b">
        <v>1</v>
      </c>
      <c r="L165" s="3" t="b">
        <v>0</v>
      </c>
      <c r="M165" s="3" t="b">
        <v>0</v>
      </c>
      <c r="N165" s="3" t="b">
        <v>0</v>
      </c>
      <c r="O165" s="3" t="b">
        <v>0</v>
      </c>
      <c r="P165" s="3" t="b">
        <v>0</v>
      </c>
      <c r="Q165" s="3" t="b">
        <v>0</v>
      </c>
      <c r="R165" s="3" t="b">
        <v>0</v>
      </c>
      <c r="S165" s="3" t="b">
        <v>0</v>
      </c>
      <c r="T165">
        <v>3429</v>
      </c>
      <c r="U165">
        <v>116374</v>
      </c>
      <c r="V165">
        <v>1</v>
      </c>
      <c r="W165">
        <v>12011</v>
      </c>
      <c r="X165">
        <v>12010</v>
      </c>
    </row>
    <row r="166" spans="1:24" x14ac:dyDescent="0.2">
      <c r="A166" t="s">
        <v>852</v>
      </c>
      <c r="B166" t="s">
        <v>24</v>
      </c>
      <c r="C166" t="s">
        <v>853</v>
      </c>
      <c r="D166" t="s">
        <v>854</v>
      </c>
      <c r="F166" t="s">
        <v>855</v>
      </c>
      <c r="G166" t="s">
        <v>856</v>
      </c>
      <c r="H166" t="s">
        <v>857</v>
      </c>
      <c r="I166" t="s">
        <v>858</v>
      </c>
      <c r="J166" t="s">
        <v>91</v>
      </c>
      <c r="K166" s="3" t="b">
        <v>1</v>
      </c>
      <c r="L166" s="3" t="b">
        <v>1</v>
      </c>
      <c r="M166" s="3" t="b">
        <v>1</v>
      </c>
      <c r="N166" s="3" t="b">
        <v>1</v>
      </c>
      <c r="O166" s="3" t="b">
        <v>1</v>
      </c>
      <c r="P166" s="3" t="b">
        <v>0</v>
      </c>
      <c r="Q166" s="3" t="b">
        <v>0</v>
      </c>
      <c r="R166" s="3" t="b">
        <v>0</v>
      </c>
      <c r="S166" s="3" t="b">
        <v>0</v>
      </c>
      <c r="T166">
        <v>4385</v>
      </c>
      <c r="U166">
        <v>272428</v>
      </c>
      <c r="V166">
        <v>1</v>
      </c>
      <c r="W166">
        <v>15487</v>
      </c>
      <c r="X166">
        <v>15486</v>
      </c>
    </row>
    <row r="167" spans="1:24" x14ac:dyDescent="0.2">
      <c r="A167" t="s">
        <v>859</v>
      </c>
      <c r="B167" t="s">
        <v>31</v>
      </c>
      <c r="C167" t="s">
        <v>127</v>
      </c>
      <c r="G167" t="s">
        <v>860</v>
      </c>
      <c r="H167" t="s">
        <v>861</v>
      </c>
      <c r="I167" t="s">
        <v>804</v>
      </c>
      <c r="J167" t="s">
        <v>29</v>
      </c>
      <c r="K167" s="3" t="b">
        <v>1</v>
      </c>
      <c r="L167" s="3" t="b">
        <v>1</v>
      </c>
      <c r="M167" s="3" t="b">
        <v>1</v>
      </c>
      <c r="N167" s="3" t="b">
        <v>1</v>
      </c>
      <c r="O167" s="3" t="b">
        <v>1</v>
      </c>
      <c r="P167" s="3" t="b">
        <v>1</v>
      </c>
      <c r="Q167" s="3" t="b">
        <v>0</v>
      </c>
      <c r="R167" s="3" t="b">
        <v>0</v>
      </c>
      <c r="S167" s="3" t="b">
        <v>1</v>
      </c>
      <c r="T167">
        <v>2863</v>
      </c>
      <c r="U167">
        <v>97877</v>
      </c>
      <c r="V167">
        <v>1</v>
      </c>
      <c r="W167">
        <v>8515</v>
      </c>
      <c r="X167">
        <v>8514</v>
      </c>
    </row>
    <row r="168" spans="1:24" x14ac:dyDescent="0.2">
      <c r="A168" t="s">
        <v>862</v>
      </c>
      <c r="B168" t="s">
        <v>58</v>
      </c>
      <c r="C168" t="s">
        <v>234</v>
      </c>
      <c r="D168" t="s">
        <v>863</v>
      </c>
      <c r="G168" t="s">
        <v>864</v>
      </c>
      <c r="H168" t="s">
        <v>865</v>
      </c>
      <c r="I168" t="s">
        <v>866</v>
      </c>
      <c r="J168" t="s">
        <v>29</v>
      </c>
      <c r="K168" s="3" t="b">
        <v>1</v>
      </c>
      <c r="L168" s="3" t="b">
        <v>1</v>
      </c>
      <c r="M168" s="3" t="b">
        <v>0</v>
      </c>
      <c r="N168" s="3" t="b">
        <v>1</v>
      </c>
      <c r="O168" s="3" t="b">
        <v>1</v>
      </c>
      <c r="P168" s="3" t="b">
        <v>0</v>
      </c>
      <c r="Q168" s="3" t="b">
        <v>0</v>
      </c>
      <c r="R168" s="3" t="b">
        <v>0</v>
      </c>
      <c r="S168" s="3" t="b">
        <v>0</v>
      </c>
      <c r="T168">
        <v>2666</v>
      </c>
      <c r="U168">
        <v>94484</v>
      </c>
      <c r="V168">
        <v>1</v>
      </c>
      <c r="W168">
        <v>7908</v>
      </c>
      <c r="X168">
        <v>7907</v>
      </c>
    </row>
    <row r="169" spans="1:24" x14ac:dyDescent="0.2">
      <c r="A169" t="s">
        <v>867</v>
      </c>
      <c r="B169" t="s">
        <v>58</v>
      </c>
      <c r="C169" t="s">
        <v>868</v>
      </c>
      <c r="D169" t="s">
        <v>741</v>
      </c>
      <c r="G169" t="s">
        <v>869</v>
      </c>
      <c r="H169" t="s">
        <v>870</v>
      </c>
      <c r="I169" t="s">
        <v>871</v>
      </c>
      <c r="J169" t="s">
        <v>872</v>
      </c>
      <c r="K169" s="3" t="b">
        <v>1</v>
      </c>
      <c r="L169" s="3" t="b">
        <v>1</v>
      </c>
      <c r="M169" s="3" t="b">
        <v>0</v>
      </c>
      <c r="N169" s="3" t="b">
        <v>1</v>
      </c>
      <c r="O169" s="3" t="b">
        <v>1</v>
      </c>
      <c r="P169" s="3" t="b">
        <v>0</v>
      </c>
      <c r="Q169" s="3" t="b">
        <v>0</v>
      </c>
      <c r="R169" s="3" t="b">
        <v>0</v>
      </c>
      <c r="S169" s="3" t="b">
        <v>0</v>
      </c>
      <c r="T169">
        <v>92</v>
      </c>
      <c r="U169">
        <v>6567</v>
      </c>
      <c r="V169">
        <v>1</v>
      </c>
      <c r="W169">
        <v>297</v>
      </c>
      <c r="X169">
        <v>296</v>
      </c>
    </row>
    <row r="170" spans="1:24" x14ac:dyDescent="0.2">
      <c r="A170" t="s">
        <v>873</v>
      </c>
      <c r="B170" t="s">
        <v>31</v>
      </c>
      <c r="C170" t="s">
        <v>405</v>
      </c>
      <c r="G170" t="s">
        <v>874</v>
      </c>
      <c r="H170" t="s">
        <v>875</v>
      </c>
      <c r="I170" t="s">
        <v>876</v>
      </c>
      <c r="J170" t="s">
        <v>877</v>
      </c>
      <c r="K170" s="3" t="b">
        <v>1</v>
      </c>
      <c r="L170" s="3" t="b">
        <v>0</v>
      </c>
      <c r="M170" s="3" t="b">
        <v>0</v>
      </c>
      <c r="N170" s="3" t="b">
        <v>0</v>
      </c>
      <c r="O170" s="3" t="b">
        <v>0</v>
      </c>
      <c r="P170" s="3" t="b">
        <v>0</v>
      </c>
      <c r="Q170" s="3" t="b">
        <v>0</v>
      </c>
      <c r="R170" s="3" t="b">
        <v>0</v>
      </c>
      <c r="S170" s="3" t="b">
        <v>0</v>
      </c>
      <c r="T170">
        <v>46</v>
      </c>
      <c r="U170">
        <v>5542</v>
      </c>
      <c r="V170">
        <v>1</v>
      </c>
      <c r="W170">
        <v>288</v>
      </c>
      <c r="X170">
        <v>287</v>
      </c>
    </row>
    <row r="171" spans="1:24" ht="17" customHeight="1" x14ac:dyDescent="0.2">
      <c r="A171" t="s">
        <v>878</v>
      </c>
      <c r="B171" t="s">
        <v>24</v>
      </c>
      <c r="C171" t="s">
        <v>333</v>
      </c>
      <c r="D171" t="s">
        <v>879</v>
      </c>
      <c r="F171" t="s">
        <v>880</v>
      </c>
      <c r="G171" t="s">
        <v>881</v>
      </c>
      <c r="H171" t="s">
        <v>882</v>
      </c>
      <c r="I171" t="s">
        <v>883</v>
      </c>
      <c r="J171" t="s">
        <v>29</v>
      </c>
      <c r="K171" s="3" t="b">
        <v>1</v>
      </c>
      <c r="L171" s="3" t="b">
        <v>1</v>
      </c>
      <c r="M171" s="3" t="b">
        <v>0</v>
      </c>
      <c r="N171" s="3" t="b">
        <v>0</v>
      </c>
      <c r="O171" s="3" t="b">
        <v>1</v>
      </c>
      <c r="P171" s="3" t="b">
        <v>0</v>
      </c>
      <c r="Q171" s="3" t="b">
        <v>0</v>
      </c>
      <c r="R171" s="3" t="b">
        <v>0</v>
      </c>
      <c r="S171" s="3" t="b">
        <v>0</v>
      </c>
      <c r="T171">
        <v>3863</v>
      </c>
      <c r="U171">
        <v>189983</v>
      </c>
      <c r="V171">
        <v>1</v>
      </c>
      <c r="W171">
        <v>13565</v>
      </c>
      <c r="X171">
        <v>13564</v>
      </c>
    </row>
    <row r="172" spans="1:24" x14ac:dyDescent="0.2">
      <c r="A172" t="s">
        <v>884</v>
      </c>
      <c r="B172" t="s">
        <v>58</v>
      </c>
      <c r="C172" t="s">
        <v>425</v>
      </c>
      <c r="G172" t="s">
        <v>885</v>
      </c>
      <c r="H172" t="s">
        <v>886</v>
      </c>
      <c r="I172" t="s">
        <v>887</v>
      </c>
      <c r="J172" t="s">
        <v>29</v>
      </c>
      <c r="K172" s="3" t="b">
        <v>1</v>
      </c>
      <c r="L172" s="3" t="b">
        <v>0</v>
      </c>
      <c r="M172" s="3" t="b">
        <v>0</v>
      </c>
      <c r="N172" s="3" t="b">
        <v>0</v>
      </c>
      <c r="O172" s="3" t="b">
        <v>0</v>
      </c>
      <c r="P172" s="3" t="b">
        <v>0</v>
      </c>
      <c r="Q172" s="3" t="b">
        <v>0</v>
      </c>
      <c r="R172" s="3" t="b">
        <v>0</v>
      </c>
      <c r="S172" s="3" t="b">
        <v>0</v>
      </c>
      <c r="T172">
        <v>1930</v>
      </c>
      <c r="U172">
        <v>67180</v>
      </c>
      <c r="V172">
        <v>1</v>
      </c>
      <c r="W172">
        <v>6131</v>
      </c>
      <c r="X172">
        <v>6130</v>
      </c>
    </row>
    <row r="173" spans="1:24" x14ac:dyDescent="0.2">
      <c r="A173" t="s">
        <v>888</v>
      </c>
      <c r="B173" t="s">
        <v>31</v>
      </c>
      <c r="C173" t="s">
        <v>889</v>
      </c>
      <c r="D173" t="s">
        <v>890</v>
      </c>
      <c r="G173" t="s">
        <v>100</v>
      </c>
      <c r="H173" t="s">
        <v>101</v>
      </c>
      <c r="I173" t="s">
        <v>102</v>
      </c>
      <c r="J173" t="s">
        <v>91</v>
      </c>
      <c r="K173" s="3" t="b">
        <v>1</v>
      </c>
      <c r="L173" s="3" t="b">
        <v>1</v>
      </c>
      <c r="M173" s="3" t="b">
        <v>0</v>
      </c>
      <c r="N173" s="3" t="b">
        <v>0</v>
      </c>
      <c r="O173" s="3" t="b">
        <v>1</v>
      </c>
      <c r="P173" s="3" t="b">
        <v>0</v>
      </c>
      <c r="Q173" s="3" t="b">
        <v>0</v>
      </c>
      <c r="R173" s="3" t="b">
        <v>0</v>
      </c>
      <c r="S173" s="3" t="b">
        <v>0</v>
      </c>
      <c r="T173">
        <v>2265</v>
      </c>
      <c r="U173">
        <v>77688</v>
      </c>
      <c r="V173">
        <v>2</v>
      </c>
      <c r="W173">
        <v>7043</v>
      </c>
      <c r="X173">
        <v>7042</v>
      </c>
    </row>
    <row r="174" spans="1:24" x14ac:dyDescent="0.2">
      <c r="A174" t="s">
        <v>891</v>
      </c>
      <c r="B174" t="s">
        <v>31</v>
      </c>
      <c r="C174" t="s">
        <v>892</v>
      </c>
      <c r="G174" t="s">
        <v>893</v>
      </c>
      <c r="H174" t="s">
        <v>894</v>
      </c>
      <c r="I174" t="s">
        <v>408</v>
      </c>
      <c r="J174" t="s">
        <v>29</v>
      </c>
      <c r="K174" s="3" t="b">
        <v>1</v>
      </c>
      <c r="L174" s="3" t="b">
        <v>1</v>
      </c>
      <c r="M174" s="3" t="b">
        <v>0</v>
      </c>
      <c r="N174" s="3" t="b">
        <v>0</v>
      </c>
      <c r="O174" s="3" t="b">
        <v>1</v>
      </c>
      <c r="P174" s="3" t="b">
        <v>0</v>
      </c>
      <c r="Q174" s="3" t="b">
        <v>0</v>
      </c>
      <c r="R174" s="3" t="b">
        <v>0</v>
      </c>
      <c r="S174" s="3" t="b">
        <v>0</v>
      </c>
      <c r="T174">
        <v>439</v>
      </c>
      <c r="U174">
        <v>17600</v>
      </c>
      <c r="V174">
        <v>1</v>
      </c>
      <c r="W174">
        <v>1524</v>
      </c>
      <c r="X174">
        <v>1522</v>
      </c>
    </row>
    <row r="175" spans="1:24" x14ac:dyDescent="0.2">
      <c r="A175" t="s">
        <v>895</v>
      </c>
      <c r="B175" t="s">
        <v>24</v>
      </c>
      <c r="C175" t="s">
        <v>437</v>
      </c>
      <c r="G175" t="s">
        <v>896</v>
      </c>
      <c r="H175" t="s">
        <v>897</v>
      </c>
      <c r="I175" t="s">
        <v>898</v>
      </c>
      <c r="J175" t="s">
        <v>63</v>
      </c>
      <c r="K175" s="3" t="b">
        <v>1</v>
      </c>
      <c r="L175" s="3" t="b">
        <v>0</v>
      </c>
      <c r="M175" s="3" t="b">
        <v>0</v>
      </c>
      <c r="N175" s="3" t="b">
        <v>0</v>
      </c>
      <c r="O175" s="3" t="b">
        <v>0</v>
      </c>
      <c r="P175" s="3" t="b">
        <v>0</v>
      </c>
      <c r="Q175" s="3" t="b">
        <v>0</v>
      </c>
      <c r="R175" s="3" t="b">
        <v>0</v>
      </c>
      <c r="S175" s="3" t="b">
        <v>0</v>
      </c>
      <c r="T175">
        <v>2967</v>
      </c>
      <c r="U175">
        <v>100900</v>
      </c>
      <c r="V175">
        <v>2</v>
      </c>
      <c r="W175">
        <v>8829</v>
      </c>
      <c r="X175">
        <v>8828</v>
      </c>
    </row>
    <row r="176" spans="1:24" x14ac:dyDescent="0.2">
      <c r="A176" t="s">
        <v>899</v>
      </c>
      <c r="B176" t="s">
        <v>24</v>
      </c>
      <c r="C176" t="s">
        <v>900</v>
      </c>
      <c r="G176" t="s">
        <v>896</v>
      </c>
      <c r="H176" t="s">
        <v>897</v>
      </c>
      <c r="I176" t="s">
        <v>898</v>
      </c>
      <c r="J176" t="s">
        <v>63</v>
      </c>
      <c r="K176" s="3" t="b">
        <v>1</v>
      </c>
      <c r="L176" s="3" t="b">
        <v>0</v>
      </c>
      <c r="M176" s="3" t="b">
        <v>0</v>
      </c>
      <c r="N176" s="3" t="b">
        <v>0</v>
      </c>
      <c r="O176" s="3" t="b">
        <v>0</v>
      </c>
      <c r="P176" s="3" t="b">
        <v>0</v>
      </c>
      <c r="Q176" s="3" t="b">
        <v>0</v>
      </c>
      <c r="R176" s="3" t="b">
        <v>0</v>
      </c>
      <c r="S176" s="3" t="b">
        <v>0</v>
      </c>
      <c r="T176">
        <v>2967</v>
      </c>
      <c r="U176">
        <v>100900</v>
      </c>
      <c r="V176">
        <v>2</v>
      </c>
      <c r="W176">
        <v>8829</v>
      </c>
      <c r="X176">
        <v>8828</v>
      </c>
    </row>
    <row r="177" spans="1:24" x14ac:dyDescent="0.2">
      <c r="A177" t="s">
        <v>901</v>
      </c>
      <c r="B177" t="s">
        <v>58</v>
      </c>
      <c r="C177" t="s">
        <v>902</v>
      </c>
      <c r="G177" t="s">
        <v>874</v>
      </c>
      <c r="H177" t="s">
        <v>875</v>
      </c>
      <c r="I177" t="s">
        <v>876</v>
      </c>
      <c r="J177" t="s">
        <v>29</v>
      </c>
      <c r="K177" s="3" t="b">
        <v>1</v>
      </c>
      <c r="L177" s="3" t="b">
        <v>0</v>
      </c>
      <c r="M177" s="3" t="b">
        <v>0</v>
      </c>
      <c r="N177" s="3" t="b">
        <v>0</v>
      </c>
      <c r="O177" s="3" t="b">
        <v>0</v>
      </c>
      <c r="P177" s="3" t="b">
        <v>0</v>
      </c>
      <c r="Q177" s="3" t="b">
        <v>0</v>
      </c>
      <c r="R177" s="3" t="b">
        <v>0</v>
      </c>
      <c r="S177" s="3" t="b">
        <v>0</v>
      </c>
      <c r="T177">
        <v>46</v>
      </c>
      <c r="U177">
        <v>5542</v>
      </c>
      <c r="V177">
        <v>1</v>
      </c>
      <c r="W177">
        <v>288</v>
      </c>
      <c r="X177">
        <v>287</v>
      </c>
    </row>
    <row r="178" spans="1:24" x14ac:dyDescent="0.2">
      <c r="A178" t="s">
        <v>903</v>
      </c>
      <c r="B178" t="s">
        <v>24</v>
      </c>
      <c r="C178" t="s">
        <v>904</v>
      </c>
      <c r="D178" t="s">
        <v>905</v>
      </c>
      <c r="F178" t="s">
        <v>906</v>
      </c>
      <c r="G178" t="s">
        <v>907</v>
      </c>
      <c r="H178" t="s">
        <v>908</v>
      </c>
      <c r="I178" t="s">
        <v>909</v>
      </c>
      <c r="J178" t="s">
        <v>91</v>
      </c>
      <c r="K178" s="3" t="b">
        <v>1</v>
      </c>
      <c r="L178" s="3" t="b">
        <v>0</v>
      </c>
      <c r="M178" s="3" t="b">
        <v>0</v>
      </c>
      <c r="N178" s="3" t="b">
        <v>0</v>
      </c>
      <c r="O178" s="3" t="b">
        <v>0</v>
      </c>
      <c r="P178" s="3" t="b">
        <v>0</v>
      </c>
      <c r="Q178" s="3" t="b">
        <v>0</v>
      </c>
      <c r="R178" s="3" t="b">
        <v>0</v>
      </c>
      <c r="S178" s="3" t="b">
        <v>0</v>
      </c>
      <c r="T178">
        <v>4379</v>
      </c>
      <c r="U178">
        <v>269853</v>
      </c>
      <c r="V178">
        <v>1</v>
      </c>
      <c r="W178">
        <v>15476</v>
      </c>
      <c r="X178">
        <v>15475</v>
      </c>
    </row>
    <row r="179" spans="1:24" x14ac:dyDescent="0.2">
      <c r="A179" t="s">
        <v>910</v>
      </c>
      <c r="B179" t="s">
        <v>58</v>
      </c>
      <c r="C179" t="s">
        <v>911</v>
      </c>
      <c r="D179" t="s">
        <v>912</v>
      </c>
      <c r="G179" t="s">
        <v>913</v>
      </c>
      <c r="H179" t="s">
        <v>914</v>
      </c>
      <c r="I179" t="s">
        <v>915</v>
      </c>
      <c r="J179" t="s">
        <v>91</v>
      </c>
      <c r="K179" s="3" t="b">
        <v>1</v>
      </c>
      <c r="L179" s="3" t="b">
        <v>0</v>
      </c>
      <c r="M179" s="3" t="b">
        <v>0</v>
      </c>
      <c r="N179" s="3" t="b">
        <v>0</v>
      </c>
      <c r="O179" s="3" t="b">
        <v>0</v>
      </c>
      <c r="P179" s="3" t="b">
        <v>0</v>
      </c>
      <c r="Q179" s="3" t="b">
        <v>0</v>
      </c>
      <c r="R179" s="3" t="b">
        <v>0</v>
      </c>
      <c r="S179" s="3" t="b">
        <v>0</v>
      </c>
      <c r="T179">
        <v>2876</v>
      </c>
      <c r="U179">
        <v>97877</v>
      </c>
      <c r="V179">
        <v>1</v>
      </c>
      <c r="W179">
        <v>8502</v>
      </c>
      <c r="X179">
        <v>8501</v>
      </c>
    </row>
    <row r="180" spans="1:24" x14ac:dyDescent="0.2">
      <c r="A180" t="s">
        <v>916</v>
      </c>
      <c r="B180" t="s">
        <v>58</v>
      </c>
      <c r="C180" t="s">
        <v>917</v>
      </c>
      <c r="G180" t="s">
        <v>918</v>
      </c>
      <c r="H180" t="s">
        <v>919</v>
      </c>
      <c r="I180" t="s">
        <v>920</v>
      </c>
      <c r="J180" t="s">
        <v>29</v>
      </c>
      <c r="K180" s="3" t="b">
        <v>1</v>
      </c>
      <c r="L180" s="3" t="b">
        <v>1</v>
      </c>
      <c r="M180" s="3" t="b">
        <v>0</v>
      </c>
      <c r="N180" s="3" t="b">
        <v>1</v>
      </c>
      <c r="O180" s="3" t="b">
        <v>0</v>
      </c>
      <c r="P180" s="3" t="b">
        <v>0</v>
      </c>
      <c r="Q180" s="3" t="b">
        <v>0</v>
      </c>
      <c r="R180" s="3" t="b">
        <v>0</v>
      </c>
      <c r="S180" s="3" t="b">
        <v>0</v>
      </c>
      <c r="T180">
        <v>1239</v>
      </c>
      <c r="U180">
        <v>47885</v>
      </c>
      <c r="V180">
        <v>1</v>
      </c>
      <c r="W180">
        <v>3398</v>
      </c>
      <c r="X180">
        <v>3395</v>
      </c>
    </row>
    <row r="181" spans="1:24" x14ac:dyDescent="0.2">
      <c r="A181" t="s">
        <v>921</v>
      </c>
      <c r="B181" t="s">
        <v>51</v>
      </c>
      <c r="C181" t="s">
        <v>922</v>
      </c>
      <c r="E181" t="s">
        <v>923</v>
      </c>
      <c r="G181" t="s">
        <v>924</v>
      </c>
      <c r="H181" t="s">
        <v>925</v>
      </c>
      <c r="I181" t="s">
        <v>926</v>
      </c>
      <c r="J181" t="s">
        <v>91</v>
      </c>
      <c r="K181" s="3" t="b">
        <v>1</v>
      </c>
      <c r="L181" s="3" t="b">
        <v>1</v>
      </c>
      <c r="M181" s="3" t="b">
        <v>0</v>
      </c>
      <c r="N181" s="3" t="b">
        <v>0</v>
      </c>
      <c r="O181" s="3" t="b">
        <v>0</v>
      </c>
      <c r="P181" s="3" t="b">
        <v>0</v>
      </c>
      <c r="Q181" s="3" t="b">
        <v>0</v>
      </c>
      <c r="R181" s="3" t="b">
        <v>0</v>
      </c>
      <c r="S181" s="3" t="b">
        <v>0</v>
      </c>
      <c r="T181">
        <v>3368</v>
      </c>
      <c r="U181">
        <v>115208</v>
      </c>
      <c r="V181">
        <v>1</v>
      </c>
      <c r="W181">
        <v>11910</v>
      </c>
      <c r="X181">
        <v>11909</v>
      </c>
    </row>
    <row r="182" spans="1:24" x14ac:dyDescent="0.2">
      <c r="A182" t="s">
        <v>927</v>
      </c>
      <c r="B182" t="s">
        <v>31</v>
      </c>
      <c r="C182" t="s">
        <v>928</v>
      </c>
      <c r="D182" t="s">
        <v>929</v>
      </c>
      <c r="G182" t="s">
        <v>930</v>
      </c>
      <c r="H182" t="s">
        <v>931</v>
      </c>
      <c r="I182" t="s">
        <v>932</v>
      </c>
      <c r="J182" t="s">
        <v>29</v>
      </c>
      <c r="K182" s="3" t="b">
        <v>1</v>
      </c>
      <c r="L182" s="3" t="b">
        <v>1</v>
      </c>
      <c r="M182" s="3" t="b">
        <v>0</v>
      </c>
      <c r="N182" s="3" t="b">
        <v>1</v>
      </c>
      <c r="O182" s="3" t="b">
        <v>0</v>
      </c>
      <c r="P182" s="3" t="b">
        <v>0</v>
      </c>
      <c r="Q182" s="3" t="b">
        <v>0</v>
      </c>
      <c r="R182" s="3" t="b">
        <v>0</v>
      </c>
      <c r="S182" s="3" t="b">
        <v>0</v>
      </c>
      <c r="T182">
        <v>1238</v>
      </c>
      <c r="U182">
        <v>47885</v>
      </c>
      <c r="V182">
        <v>1</v>
      </c>
      <c r="W182">
        <v>3400</v>
      </c>
      <c r="X182">
        <v>3398</v>
      </c>
    </row>
    <row r="183" spans="1:24" x14ac:dyDescent="0.2">
      <c r="A183" t="s">
        <v>933</v>
      </c>
      <c r="B183" t="s">
        <v>24</v>
      </c>
      <c r="C183" t="s">
        <v>934</v>
      </c>
      <c r="G183" t="s">
        <v>136</v>
      </c>
      <c r="H183" t="s">
        <v>137</v>
      </c>
      <c r="I183" t="s">
        <v>138</v>
      </c>
      <c r="J183" t="s">
        <v>29</v>
      </c>
      <c r="K183" s="3" t="b">
        <v>1</v>
      </c>
      <c r="L183" s="3" t="b">
        <v>1</v>
      </c>
      <c r="M183" s="3" t="b">
        <v>0</v>
      </c>
      <c r="N183" s="3" t="b">
        <v>1</v>
      </c>
      <c r="O183" s="3" t="b">
        <v>0</v>
      </c>
      <c r="P183" s="3" t="b">
        <v>0</v>
      </c>
      <c r="Q183" s="3" t="b">
        <v>0</v>
      </c>
      <c r="R183" s="3" t="b">
        <v>0</v>
      </c>
      <c r="S183" s="3" t="b">
        <v>0</v>
      </c>
      <c r="T183">
        <v>3613</v>
      </c>
      <c r="U183">
        <v>149926</v>
      </c>
      <c r="V183">
        <v>1</v>
      </c>
      <c r="W183">
        <v>13077</v>
      </c>
      <c r="X183">
        <v>13076</v>
      </c>
    </row>
    <row r="184" spans="1:24" ht="20" customHeight="1" x14ac:dyDescent="0.2">
      <c r="A184" t="s">
        <v>935</v>
      </c>
      <c r="B184" t="s">
        <v>51</v>
      </c>
      <c r="C184" t="s">
        <v>936</v>
      </c>
      <c r="D184" t="s">
        <v>937</v>
      </c>
      <c r="E184" t="s">
        <v>938</v>
      </c>
      <c r="G184" t="s">
        <v>939</v>
      </c>
      <c r="H184" t="s">
        <v>940</v>
      </c>
      <c r="I184" t="s">
        <v>941</v>
      </c>
      <c r="J184" t="s">
        <v>91</v>
      </c>
      <c r="K184" s="3" t="b">
        <v>1</v>
      </c>
      <c r="L184" s="3" t="b">
        <v>1</v>
      </c>
      <c r="M184" s="3" t="b">
        <v>1</v>
      </c>
      <c r="N184" s="3" t="b">
        <v>1</v>
      </c>
      <c r="O184" s="3" t="b">
        <v>1</v>
      </c>
      <c r="P184" s="3" t="b">
        <v>0</v>
      </c>
      <c r="Q184" s="3" t="b">
        <v>0</v>
      </c>
      <c r="R184" s="3" t="b">
        <v>0</v>
      </c>
      <c r="S184" s="3" t="b">
        <v>1</v>
      </c>
      <c r="T184">
        <v>2387</v>
      </c>
      <c r="U184">
        <v>86906</v>
      </c>
      <c r="V184">
        <v>1</v>
      </c>
      <c r="W184">
        <v>7488</v>
      </c>
      <c r="X184">
        <v>7487</v>
      </c>
    </row>
    <row r="185" spans="1:24" ht="17" customHeight="1" x14ac:dyDescent="0.2">
      <c r="A185" t="s">
        <v>942</v>
      </c>
      <c r="B185" t="s">
        <v>24</v>
      </c>
      <c r="C185" t="s">
        <v>943</v>
      </c>
      <c r="D185" t="s">
        <v>944</v>
      </c>
      <c r="F185" t="s">
        <v>945</v>
      </c>
      <c r="G185" t="s">
        <v>946</v>
      </c>
      <c r="H185" t="s">
        <v>947</v>
      </c>
      <c r="I185" t="s">
        <v>948</v>
      </c>
      <c r="J185" t="s">
        <v>949</v>
      </c>
      <c r="K185" s="3" t="b">
        <v>1</v>
      </c>
      <c r="L185" s="3" t="b">
        <v>1</v>
      </c>
      <c r="M185" s="3" t="b">
        <v>1</v>
      </c>
      <c r="N185" s="3" t="b">
        <v>1</v>
      </c>
      <c r="O185" s="3" t="b">
        <v>1</v>
      </c>
      <c r="P185" s="3" t="b">
        <v>0</v>
      </c>
      <c r="Q185" s="3" t="b">
        <v>0</v>
      </c>
      <c r="R185" s="3" t="b">
        <v>0</v>
      </c>
      <c r="S185" s="3" t="b">
        <v>1</v>
      </c>
      <c r="T185">
        <v>4004</v>
      </c>
      <c r="U185">
        <v>211152</v>
      </c>
      <c r="V185">
        <v>1</v>
      </c>
      <c r="W185">
        <v>14479</v>
      </c>
      <c r="X185">
        <v>14478</v>
      </c>
    </row>
    <row r="186" spans="1:24" ht="16" customHeight="1" x14ac:dyDescent="0.2">
      <c r="A186" t="s">
        <v>950</v>
      </c>
      <c r="B186" t="s">
        <v>24</v>
      </c>
      <c r="C186" t="s">
        <v>145</v>
      </c>
      <c r="D186" t="s">
        <v>951</v>
      </c>
      <c r="F186" t="s">
        <v>952</v>
      </c>
      <c r="G186" t="s">
        <v>953</v>
      </c>
      <c r="H186" t="s">
        <v>954</v>
      </c>
      <c r="I186" t="s">
        <v>955</v>
      </c>
      <c r="J186" t="s">
        <v>91</v>
      </c>
      <c r="K186" s="3" t="b">
        <v>1</v>
      </c>
      <c r="L186" s="3" t="b">
        <v>1</v>
      </c>
      <c r="M186" s="3" t="b">
        <v>1</v>
      </c>
      <c r="N186" s="3" t="b">
        <v>1</v>
      </c>
      <c r="O186" s="3" t="b">
        <v>1</v>
      </c>
      <c r="P186" s="3" t="b">
        <v>0</v>
      </c>
      <c r="Q186" s="3" t="b">
        <v>0</v>
      </c>
      <c r="R186" s="3" t="b">
        <v>0</v>
      </c>
      <c r="S186" s="3" t="b">
        <v>1</v>
      </c>
      <c r="T186">
        <v>743</v>
      </c>
      <c r="U186">
        <v>23507</v>
      </c>
      <c r="V186">
        <v>1</v>
      </c>
      <c r="W186">
        <v>2141</v>
      </c>
      <c r="X186">
        <v>2140</v>
      </c>
    </row>
    <row r="187" spans="1:24" x14ac:dyDescent="0.2">
      <c r="A187" t="s">
        <v>956</v>
      </c>
      <c r="B187" t="s">
        <v>51</v>
      </c>
      <c r="C187" t="s">
        <v>957</v>
      </c>
      <c r="E187" t="s">
        <v>958</v>
      </c>
      <c r="G187" t="s">
        <v>959</v>
      </c>
      <c r="H187" t="s">
        <v>960</v>
      </c>
      <c r="I187" t="s">
        <v>961</v>
      </c>
      <c r="J187" t="s">
        <v>29</v>
      </c>
      <c r="K187" s="3" t="b">
        <v>1</v>
      </c>
      <c r="L187" s="3" t="b">
        <v>0</v>
      </c>
      <c r="M187" s="3" t="b">
        <v>0</v>
      </c>
      <c r="N187" s="3" t="b">
        <v>0</v>
      </c>
      <c r="O187" s="3" t="b">
        <v>0</v>
      </c>
      <c r="P187" s="3" t="b">
        <v>0</v>
      </c>
      <c r="Q187" s="3" t="b">
        <v>0</v>
      </c>
      <c r="R187" s="3" t="b">
        <v>0</v>
      </c>
      <c r="S187" s="3" t="b">
        <v>0</v>
      </c>
      <c r="T187">
        <v>4016</v>
      </c>
      <c r="U187">
        <v>212402</v>
      </c>
      <c r="V187">
        <v>1</v>
      </c>
      <c r="W187">
        <v>14502</v>
      </c>
      <c r="X187">
        <v>14501</v>
      </c>
    </row>
    <row r="188" spans="1:24" ht="19" customHeight="1" x14ac:dyDescent="0.2">
      <c r="A188" t="s">
        <v>962</v>
      </c>
      <c r="B188" t="s">
        <v>51</v>
      </c>
      <c r="C188" t="s">
        <v>115</v>
      </c>
      <c r="D188" t="s">
        <v>116</v>
      </c>
      <c r="E188" t="s">
        <v>117</v>
      </c>
      <c r="G188" t="s">
        <v>963</v>
      </c>
      <c r="H188" t="s">
        <v>964</v>
      </c>
      <c r="I188" t="s">
        <v>965</v>
      </c>
      <c r="J188" t="s">
        <v>91</v>
      </c>
      <c r="K188" s="3" t="b">
        <v>1</v>
      </c>
      <c r="L188" s="3" t="b">
        <v>1</v>
      </c>
      <c r="M188" s="3" t="b">
        <v>1</v>
      </c>
      <c r="N188" s="3" t="b">
        <v>1</v>
      </c>
      <c r="O188" s="3" t="b">
        <v>1</v>
      </c>
      <c r="P188" s="3" t="b">
        <v>1</v>
      </c>
      <c r="Q188" s="3" t="b">
        <v>0</v>
      </c>
      <c r="R188" s="3" t="b">
        <v>0</v>
      </c>
      <c r="S188" s="3" t="b">
        <v>1</v>
      </c>
      <c r="T188">
        <v>2383</v>
      </c>
      <c r="U188">
        <v>86906</v>
      </c>
      <c r="V188">
        <v>1</v>
      </c>
      <c r="W188">
        <v>7492</v>
      </c>
      <c r="X188">
        <v>7491</v>
      </c>
    </row>
    <row r="189" spans="1:24" x14ac:dyDescent="0.2">
      <c r="A189" t="s">
        <v>966</v>
      </c>
      <c r="B189" t="s">
        <v>58</v>
      </c>
      <c r="C189" t="s">
        <v>967</v>
      </c>
      <c r="D189" t="s">
        <v>741</v>
      </c>
      <c r="G189" t="s">
        <v>968</v>
      </c>
      <c r="H189" t="s">
        <v>969</v>
      </c>
      <c r="I189" t="s">
        <v>970</v>
      </c>
      <c r="J189" t="s">
        <v>91</v>
      </c>
      <c r="K189" s="3" t="b">
        <v>1</v>
      </c>
      <c r="L189" s="3" t="b">
        <v>1</v>
      </c>
      <c r="M189" s="3" t="b">
        <v>0</v>
      </c>
      <c r="N189" s="3" t="b">
        <v>1</v>
      </c>
      <c r="O189" s="3" t="b">
        <v>0</v>
      </c>
      <c r="P189" s="3" t="b">
        <v>0</v>
      </c>
      <c r="Q189" s="3" t="b">
        <v>0</v>
      </c>
      <c r="R189" s="3" t="b">
        <v>0</v>
      </c>
      <c r="S189" s="3" t="b">
        <v>0</v>
      </c>
      <c r="T189">
        <v>4381</v>
      </c>
      <c r="U189">
        <v>272428</v>
      </c>
      <c r="V189">
        <v>1</v>
      </c>
      <c r="W189">
        <v>15491</v>
      </c>
      <c r="X189">
        <v>15490</v>
      </c>
    </row>
    <row r="190" spans="1:24" x14ac:dyDescent="0.2">
      <c r="A190" t="s">
        <v>971</v>
      </c>
      <c r="B190" t="s">
        <v>24</v>
      </c>
      <c r="C190" t="s">
        <v>972</v>
      </c>
      <c r="D190" t="s">
        <v>973</v>
      </c>
      <c r="F190" t="s">
        <v>974</v>
      </c>
      <c r="G190" t="s">
        <v>975</v>
      </c>
      <c r="H190" t="s">
        <v>976</v>
      </c>
      <c r="I190" t="s">
        <v>977</v>
      </c>
      <c r="J190" t="s">
        <v>91</v>
      </c>
      <c r="K190" s="3" t="b">
        <v>1</v>
      </c>
      <c r="L190" s="3" t="b">
        <v>0</v>
      </c>
      <c r="M190" s="3" t="b">
        <v>0</v>
      </c>
      <c r="N190" s="3" t="b">
        <v>0</v>
      </c>
      <c r="O190" s="3" t="b">
        <v>0</v>
      </c>
      <c r="P190" s="3" t="b">
        <v>0</v>
      </c>
      <c r="Q190" s="3" t="b">
        <v>0</v>
      </c>
      <c r="R190" s="3" t="b">
        <v>0</v>
      </c>
      <c r="S190" s="3" t="b">
        <v>0</v>
      </c>
      <c r="T190">
        <v>859</v>
      </c>
      <c r="U190">
        <v>29055</v>
      </c>
      <c r="V190">
        <v>1</v>
      </c>
      <c r="W190">
        <v>2512</v>
      </c>
      <c r="X190">
        <v>2511</v>
      </c>
    </row>
    <row r="191" spans="1:24" x14ac:dyDescent="0.2">
      <c r="A191" t="s">
        <v>978</v>
      </c>
      <c r="B191" t="s">
        <v>24</v>
      </c>
      <c r="C191" t="s">
        <v>979</v>
      </c>
      <c r="G191" t="s">
        <v>293</v>
      </c>
      <c r="H191" t="s">
        <v>294</v>
      </c>
      <c r="I191" t="s">
        <v>295</v>
      </c>
      <c r="J191" t="s">
        <v>29</v>
      </c>
      <c r="K191" s="3" t="b">
        <v>1</v>
      </c>
      <c r="L191" s="3" t="b">
        <v>1</v>
      </c>
      <c r="M191" s="3" t="b">
        <v>0</v>
      </c>
      <c r="N191" s="3" t="b">
        <v>1</v>
      </c>
      <c r="O191" s="3" t="b">
        <v>1</v>
      </c>
      <c r="P191" s="3" t="b">
        <v>0</v>
      </c>
      <c r="Q191" s="3" t="b">
        <v>0</v>
      </c>
      <c r="R191" s="3" t="b">
        <v>0</v>
      </c>
      <c r="S191" s="3" t="b">
        <v>0</v>
      </c>
      <c r="T191">
        <v>34</v>
      </c>
      <c r="U191">
        <v>2403</v>
      </c>
      <c r="V191">
        <v>1</v>
      </c>
      <c r="W191">
        <v>152</v>
      </c>
      <c r="X191">
        <v>151</v>
      </c>
    </row>
    <row r="192" spans="1:24" x14ac:dyDescent="0.2">
      <c r="A192" t="s">
        <v>980</v>
      </c>
      <c r="B192" t="s">
        <v>24</v>
      </c>
      <c r="C192" t="s">
        <v>357</v>
      </c>
      <c r="D192" t="s">
        <v>981</v>
      </c>
      <c r="F192" t="s">
        <v>982</v>
      </c>
      <c r="G192" t="s">
        <v>983</v>
      </c>
      <c r="H192" t="s">
        <v>984</v>
      </c>
      <c r="I192" t="s">
        <v>774</v>
      </c>
      <c r="J192" t="s">
        <v>29</v>
      </c>
      <c r="K192" s="3" t="b">
        <v>1</v>
      </c>
      <c r="L192" s="3" t="b">
        <v>1</v>
      </c>
      <c r="M192" s="3" t="b">
        <v>0</v>
      </c>
      <c r="N192" s="3" t="b">
        <v>1</v>
      </c>
      <c r="O192" s="3" t="b">
        <v>1</v>
      </c>
      <c r="P192" s="3" t="b">
        <v>0</v>
      </c>
      <c r="Q192" s="3" t="b">
        <v>0</v>
      </c>
      <c r="R192" s="3" t="b">
        <v>0</v>
      </c>
      <c r="S192" s="3" t="b">
        <v>0</v>
      </c>
      <c r="T192">
        <v>35</v>
      </c>
      <c r="U192">
        <v>2403</v>
      </c>
      <c r="V192">
        <v>1</v>
      </c>
      <c r="W192">
        <v>151</v>
      </c>
      <c r="X192">
        <v>150</v>
      </c>
    </row>
    <row r="193" spans="1:24" x14ac:dyDescent="0.2">
      <c r="A193" t="s">
        <v>985</v>
      </c>
      <c r="B193" t="s">
        <v>24</v>
      </c>
      <c r="C193" t="s">
        <v>234</v>
      </c>
      <c r="G193" t="s">
        <v>986</v>
      </c>
      <c r="H193" t="s">
        <v>987</v>
      </c>
      <c r="I193" t="s">
        <v>988</v>
      </c>
      <c r="J193" t="s">
        <v>29</v>
      </c>
      <c r="K193" s="3" t="b">
        <v>1</v>
      </c>
      <c r="L193" s="3" t="b">
        <v>0</v>
      </c>
      <c r="M193" s="3" t="b">
        <v>0</v>
      </c>
      <c r="N193" s="3" t="b">
        <v>0</v>
      </c>
      <c r="O193" s="3" t="b">
        <v>0</v>
      </c>
      <c r="P193" s="3" t="b">
        <v>0</v>
      </c>
      <c r="Q193" s="3" t="b">
        <v>0</v>
      </c>
      <c r="R193" s="3" t="b">
        <v>0</v>
      </c>
      <c r="S193" s="3" t="b">
        <v>0</v>
      </c>
      <c r="T193">
        <v>4036</v>
      </c>
      <c r="U193">
        <v>217122</v>
      </c>
      <c r="V193">
        <v>1</v>
      </c>
      <c r="W193">
        <v>14586</v>
      </c>
      <c r="X193">
        <v>14585</v>
      </c>
    </row>
    <row r="194" spans="1:24" x14ac:dyDescent="0.2">
      <c r="A194" t="s">
        <v>989</v>
      </c>
      <c r="B194" t="s">
        <v>58</v>
      </c>
      <c r="C194" t="s">
        <v>990</v>
      </c>
      <c r="G194" t="s">
        <v>991</v>
      </c>
      <c r="H194" t="s">
        <v>992</v>
      </c>
      <c r="I194" t="s">
        <v>993</v>
      </c>
      <c r="J194" t="s">
        <v>227</v>
      </c>
      <c r="K194" s="3" t="b">
        <v>1</v>
      </c>
      <c r="L194" s="3" t="b">
        <v>0</v>
      </c>
      <c r="M194" s="3" t="b">
        <v>0</v>
      </c>
      <c r="N194" s="3" t="b">
        <v>0</v>
      </c>
      <c r="O194" s="3" t="b">
        <v>0</v>
      </c>
      <c r="P194" s="3" t="b">
        <v>0</v>
      </c>
      <c r="Q194" s="3" t="b">
        <v>0</v>
      </c>
      <c r="R194" s="3" t="b">
        <v>0</v>
      </c>
      <c r="S194" s="3" t="b">
        <v>0</v>
      </c>
      <c r="T194">
        <v>1778</v>
      </c>
      <c r="U194">
        <v>58507</v>
      </c>
      <c r="V194">
        <v>1</v>
      </c>
      <c r="W194">
        <v>5298</v>
      </c>
      <c r="X194">
        <v>5295</v>
      </c>
    </row>
    <row r="195" spans="1:24" x14ac:dyDescent="0.2">
      <c r="A195" t="s">
        <v>994</v>
      </c>
      <c r="B195" t="s">
        <v>58</v>
      </c>
      <c r="C195" t="s">
        <v>995</v>
      </c>
      <c r="D195" t="s">
        <v>996</v>
      </c>
      <c r="G195" t="s">
        <v>997</v>
      </c>
      <c r="H195" t="s">
        <v>998</v>
      </c>
      <c r="I195" t="s">
        <v>999</v>
      </c>
      <c r="J195" t="s">
        <v>91</v>
      </c>
      <c r="K195" s="3" t="b">
        <v>1</v>
      </c>
      <c r="L195" s="3" t="b">
        <v>1</v>
      </c>
      <c r="M195" s="3" t="b">
        <v>0</v>
      </c>
      <c r="N195" s="3" t="b">
        <v>1</v>
      </c>
      <c r="O195" s="3" t="b">
        <v>0</v>
      </c>
      <c r="P195" s="3" t="b">
        <v>0</v>
      </c>
      <c r="Q195" s="3" t="b">
        <v>0</v>
      </c>
      <c r="R195" s="3" t="b">
        <v>0</v>
      </c>
      <c r="S195" s="3" t="b">
        <v>0</v>
      </c>
      <c r="T195">
        <v>42</v>
      </c>
      <c r="U195">
        <v>2403</v>
      </c>
      <c r="V195">
        <v>1</v>
      </c>
      <c r="W195">
        <v>144</v>
      </c>
      <c r="X195">
        <v>143</v>
      </c>
    </row>
    <row r="196" spans="1:24" x14ac:dyDescent="0.2">
      <c r="A196" t="s">
        <v>1000</v>
      </c>
      <c r="B196" t="s">
        <v>58</v>
      </c>
      <c r="C196" t="s">
        <v>1001</v>
      </c>
      <c r="G196" t="s">
        <v>1002</v>
      </c>
      <c r="H196" t="s">
        <v>1003</v>
      </c>
      <c r="I196" t="s">
        <v>495</v>
      </c>
      <c r="J196" t="s">
        <v>29</v>
      </c>
      <c r="K196" s="3" t="b">
        <v>1</v>
      </c>
      <c r="L196" s="3" t="b">
        <v>1</v>
      </c>
      <c r="M196" s="3" t="b">
        <v>0</v>
      </c>
      <c r="N196" s="3" t="b">
        <v>1</v>
      </c>
      <c r="O196" s="3" t="b">
        <v>0</v>
      </c>
      <c r="P196" s="3" t="b">
        <v>0</v>
      </c>
      <c r="Q196" s="3" t="b">
        <v>0</v>
      </c>
      <c r="R196" s="3" t="b">
        <v>0</v>
      </c>
      <c r="S196" s="3" t="b">
        <v>0</v>
      </c>
      <c r="T196">
        <v>2262</v>
      </c>
      <c r="U196">
        <v>77688</v>
      </c>
      <c r="V196">
        <v>1</v>
      </c>
      <c r="W196">
        <v>7049</v>
      </c>
      <c r="X196">
        <v>7046</v>
      </c>
    </row>
    <row r="197" spans="1:24" ht="16" customHeight="1" x14ac:dyDescent="0.2">
      <c r="A197" t="s">
        <v>1004</v>
      </c>
      <c r="B197" t="s">
        <v>24</v>
      </c>
      <c r="C197" t="s">
        <v>222</v>
      </c>
      <c r="D197" t="s">
        <v>1005</v>
      </c>
      <c r="F197" t="s">
        <v>1006</v>
      </c>
      <c r="G197" t="s">
        <v>1007</v>
      </c>
      <c r="H197" t="s">
        <v>1008</v>
      </c>
      <c r="I197" t="s">
        <v>1009</v>
      </c>
      <c r="J197" t="s">
        <v>91</v>
      </c>
      <c r="K197" s="3" t="b">
        <v>1</v>
      </c>
      <c r="L197" s="3" t="b">
        <v>1</v>
      </c>
      <c r="M197" s="3" t="b">
        <v>1</v>
      </c>
      <c r="N197" s="3" t="b">
        <v>1</v>
      </c>
      <c r="O197" s="3" t="b">
        <v>1</v>
      </c>
      <c r="P197" s="3" t="b">
        <v>0</v>
      </c>
      <c r="Q197" s="3" t="b">
        <v>0</v>
      </c>
      <c r="R197" s="3" t="b">
        <v>0</v>
      </c>
      <c r="S197" s="3" t="b">
        <v>1</v>
      </c>
      <c r="T197">
        <v>766</v>
      </c>
      <c r="U197">
        <v>23507</v>
      </c>
      <c r="V197">
        <v>1</v>
      </c>
      <c r="W197">
        <v>2115</v>
      </c>
      <c r="X197">
        <v>2114</v>
      </c>
    </row>
    <row r="198" spans="1:24" x14ac:dyDescent="0.2">
      <c r="A198" t="s">
        <v>1010</v>
      </c>
      <c r="B198" t="s">
        <v>58</v>
      </c>
      <c r="C198" t="s">
        <v>1011</v>
      </c>
      <c r="G198" t="s">
        <v>1012</v>
      </c>
      <c r="H198" t="s">
        <v>1013</v>
      </c>
      <c r="I198" t="s">
        <v>1014</v>
      </c>
      <c r="J198" t="s">
        <v>63</v>
      </c>
      <c r="K198" s="3" t="b">
        <v>1</v>
      </c>
      <c r="L198" s="3" t="b">
        <v>0</v>
      </c>
      <c r="M198" s="3" t="b">
        <v>0</v>
      </c>
      <c r="N198" s="3" t="b">
        <v>0</v>
      </c>
      <c r="O198" s="3" t="b">
        <v>0</v>
      </c>
      <c r="P198" s="3" t="b">
        <v>0</v>
      </c>
      <c r="Q198" s="3" t="b">
        <v>0</v>
      </c>
      <c r="R198" s="3" t="b">
        <v>0</v>
      </c>
      <c r="S198" s="3" t="b">
        <v>0</v>
      </c>
      <c r="T198">
        <v>2970</v>
      </c>
      <c r="U198">
        <v>100900</v>
      </c>
      <c r="V198">
        <v>2</v>
      </c>
      <c r="W198">
        <v>8826</v>
      </c>
      <c r="X198">
        <v>8825</v>
      </c>
    </row>
    <row r="199" spans="1:24" x14ac:dyDescent="0.2">
      <c r="A199" t="s">
        <v>1015</v>
      </c>
      <c r="B199" t="s">
        <v>58</v>
      </c>
      <c r="C199" t="s">
        <v>1016</v>
      </c>
      <c r="G199" t="s">
        <v>1017</v>
      </c>
      <c r="H199" t="s">
        <v>1018</v>
      </c>
      <c r="I199" t="s">
        <v>1019</v>
      </c>
      <c r="J199" t="s">
        <v>29</v>
      </c>
      <c r="K199" s="3" t="b">
        <v>1</v>
      </c>
      <c r="L199" s="3" t="b">
        <v>0</v>
      </c>
      <c r="M199" s="3" t="b">
        <v>0</v>
      </c>
      <c r="N199" s="3" t="b">
        <v>0</v>
      </c>
      <c r="O199" s="3" t="b">
        <v>0</v>
      </c>
      <c r="P199" s="3" t="b">
        <v>0</v>
      </c>
      <c r="Q199" s="3" t="b">
        <v>0</v>
      </c>
      <c r="R199" s="3" t="b">
        <v>0</v>
      </c>
      <c r="S199" s="3" t="b">
        <v>0</v>
      </c>
      <c r="T199">
        <v>1082</v>
      </c>
      <c r="U199">
        <v>38359</v>
      </c>
      <c r="V199">
        <v>1</v>
      </c>
      <c r="W199">
        <v>2855</v>
      </c>
      <c r="X199">
        <v>2854</v>
      </c>
    </row>
    <row r="200" spans="1:24" x14ac:dyDescent="0.2">
      <c r="A200" t="s">
        <v>1020</v>
      </c>
      <c r="B200" t="s">
        <v>24</v>
      </c>
      <c r="C200" t="s">
        <v>1021</v>
      </c>
      <c r="D200" t="s">
        <v>1022</v>
      </c>
      <c r="F200" t="s">
        <v>906</v>
      </c>
      <c r="G200" t="s">
        <v>907</v>
      </c>
      <c r="H200" t="s">
        <v>908</v>
      </c>
      <c r="I200" t="s">
        <v>909</v>
      </c>
      <c r="J200" t="s">
        <v>91</v>
      </c>
      <c r="K200" s="3" t="b">
        <v>1</v>
      </c>
      <c r="L200" s="3" t="b">
        <v>0</v>
      </c>
      <c r="M200" s="3" t="b">
        <v>0</v>
      </c>
      <c r="N200" s="3" t="b">
        <v>0</v>
      </c>
      <c r="O200" s="3" t="b">
        <v>0</v>
      </c>
      <c r="P200" s="3" t="b">
        <v>0</v>
      </c>
      <c r="Q200" s="3" t="b">
        <v>0</v>
      </c>
      <c r="R200" s="3" t="b">
        <v>0</v>
      </c>
      <c r="S200" s="3" t="b">
        <v>0</v>
      </c>
      <c r="T200">
        <v>4379</v>
      </c>
      <c r="U200">
        <v>269853</v>
      </c>
      <c r="V200">
        <v>1</v>
      </c>
      <c r="W200">
        <v>15476</v>
      </c>
      <c r="X200">
        <v>15475</v>
      </c>
    </row>
    <row r="201" spans="1:24" x14ac:dyDescent="0.2">
      <c r="A201" t="s">
        <v>1023</v>
      </c>
      <c r="B201" t="s">
        <v>31</v>
      </c>
      <c r="C201" t="s">
        <v>1024</v>
      </c>
      <c r="D201" t="s">
        <v>1025</v>
      </c>
      <c r="G201" t="s">
        <v>1026</v>
      </c>
      <c r="H201" t="s">
        <v>1027</v>
      </c>
      <c r="I201" t="s">
        <v>1028</v>
      </c>
      <c r="J201" t="s">
        <v>91</v>
      </c>
      <c r="K201" s="3" t="b">
        <v>1</v>
      </c>
      <c r="L201" s="3" t="b">
        <v>0</v>
      </c>
      <c r="M201" s="3" t="b">
        <v>0</v>
      </c>
      <c r="N201" s="3" t="b">
        <v>0</v>
      </c>
      <c r="O201" s="3" t="b">
        <v>0</v>
      </c>
      <c r="P201" s="3" t="b">
        <v>0</v>
      </c>
      <c r="Q201" s="3" t="b">
        <v>0</v>
      </c>
      <c r="R201" s="3" t="b">
        <v>0</v>
      </c>
      <c r="S201" s="3" t="b">
        <v>0</v>
      </c>
      <c r="T201">
        <v>3430</v>
      </c>
      <c r="U201">
        <v>116374</v>
      </c>
      <c r="V201">
        <v>1</v>
      </c>
      <c r="W201">
        <v>12010</v>
      </c>
      <c r="X201">
        <v>12009</v>
      </c>
    </row>
    <row r="202" spans="1:24" x14ac:dyDescent="0.2">
      <c r="A202" t="s">
        <v>1029</v>
      </c>
      <c r="B202" t="s">
        <v>51</v>
      </c>
      <c r="C202" t="s">
        <v>1030</v>
      </c>
      <c r="E202" t="s">
        <v>328</v>
      </c>
      <c r="G202" t="s">
        <v>1031</v>
      </c>
      <c r="H202" t="s">
        <v>1032</v>
      </c>
      <c r="I202" t="s">
        <v>1033</v>
      </c>
      <c r="J202" t="s">
        <v>1034</v>
      </c>
      <c r="K202" s="3" t="b">
        <v>1</v>
      </c>
      <c r="L202" s="3" t="b">
        <v>1</v>
      </c>
      <c r="M202" s="3" t="b">
        <v>0</v>
      </c>
      <c r="N202" s="3" t="b">
        <v>1</v>
      </c>
      <c r="O202" s="3" t="b">
        <v>0</v>
      </c>
      <c r="P202" s="3" t="b">
        <v>0</v>
      </c>
      <c r="Q202" s="3" t="b">
        <v>0</v>
      </c>
      <c r="R202" s="3" t="b">
        <v>0</v>
      </c>
      <c r="S202" s="3" t="b">
        <v>0</v>
      </c>
      <c r="T202">
        <v>3783</v>
      </c>
      <c r="U202">
        <v>173851</v>
      </c>
      <c r="V202">
        <v>1</v>
      </c>
      <c r="W202">
        <v>13446</v>
      </c>
      <c r="X202">
        <v>13445</v>
      </c>
    </row>
    <row r="203" spans="1:24" x14ac:dyDescent="0.2">
      <c r="A203" t="s">
        <v>1035</v>
      </c>
      <c r="B203" t="s">
        <v>58</v>
      </c>
      <c r="C203" t="s">
        <v>902</v>
      </c>
      <c r="G203" t="s">
        <v>82</v>
      </c>
      <c r="H203" t="s">
        <v>83</v>
      </c>
      <c r="I203" t="s">
        <v>84</v>
      </c>
      <c r="J203" t="s">
        <v>85</v>
      </c>
      <c r="K203" s="3" t="b">
        <v>1</v>
      </c>
      <c r="L203" s="3" t="b">
        <v>0</v>
      </c>
      <c r="M203" s="3" t="b">
        <v>0</v>
      </c>
      <c r="N203" s="3" t="b">
        <v>0</v>
      </c>
      <c r="O203" s="3" t="b">
        <v>0</v>
      </c>
      <c r="P203" s="3" t="b">
        <v>0</v>
      </c>
      <c r="Q203" s="3" t="b">
        <v>0</v>
      </c>
      <c r="R203" s="3" t="b">
        <v>0</v>
      </c>
      <c r="S203" s="3" t="b">
        <v>0</v>
      </c>
      <c r="T203">
        <v>2994</v>
      </c>
      <c r="U203">
        <v>100900</v>
      </c>
      <c r="V203">
        <v>2</v>
      </c>
      <c r="W203">
        <v>8798</v>
      </c>
      <c r="X203">
        <v>8779</v>
      </c>
    </row>
    <row r="204" spans="1:24" x14ac:dyDescent="0.2">
      <c r="A204" t="s">
        <v>1036</v>
      </c>
      <c r="B204" t="s">
        <v>31</v>
      </c>
      <c r="C204" t="s">
        <v>45</v>
      </c>
      <c r="G204" t="s">
        <v>1037</v>
      </c>
      <c r="H204" t="s">
        <v>1038</v>
      </c>
      <c r="I204" t="s">
        <v>1039</v>
      </c>
      <c r="J204" t="s">
        <v>29</v>
      </c>
      <c r="K204" s="3" t="b">
        <v>1</v>
      </c>
      <c r="L204" s="3" t="b">
        <v>1</v>
      </c>
      <c r="M204" s="3" t="b">
        <v>0</v>
      </c>
      <c r="N204" s="3" t="b">
        <v>1</v>
      </c>
      <c r="O204" s="3" t="b">
        <v>0</v>
      </c>
      <c r="P204" s="3" t="b">
        <v>0</v>
      </c>
      <c r="Q204" s="3" t="b">
        <v>0</v>
      </c>
      <c r="R204" s="3" t="b">
        <v>0</v>
      </c>
      <c r="S204" s="3" t="b">
        <v>0</v>
      </c>
      <c r="T204">
        <v>4285</v>
      </c>
      <c r="U204">
        <v>255025</v>
      </c>
      <c r="V204">
        <v>1</v>
      </c>
      <c r="W204">
        <v>15222</v>
      </c>
      <c r="X204">
        <v>15220</v>
      </c>
    </row>
    <row r="205" spans="1:24" x14ac:dyDescent="0.2">
      <c r="A205" t="s">
        <v>1040</v>
      </c>
      <c r="B205" t="s">
        <v>58</v>
      </c>
      <c r="C205" t="s">
        <v>234</v>
      </c>
      <c r="G205" t="s">
        <v>1041</v>
      </c>
      <c r="H205" t="s">
        <v>1042</v>
      </c>
      <c r="I205" t="s">
        <v>1043</v>
      </c>
      <c r="J205" t="s">
        <v>63</v>
      </c>
      <c r="K205" s="3" t="b">
        <v>1</v>
      </c>
      <c r="L205" s="3" t="b">
        <v>1</v>
      </c>
      <c r="M205" s="3" t="b">
        <v>0</v>
      </c>
      <c r="N205" s="3" t="b">
        <v>1</v>
      </c>
      <c r="O205" s="3" t="b">
        <v>1</v>
      </c>
      <c r="P205" s="3" t="b">
        <v>0</v>
      </c>
      <c r="Q205" s="3" t="b">
        <v>0</v>
      </c>
      <c r="R205" s="3" t="b">
        <v>0</v>
      </c>
      <c r="S205" s="3" t="b">
        <v>0</v>
      </c>
      <c r="T205">
        <v>2962</v>
      </c>
      <c r="U205">
        <v>100900</v>
      </c>
      <c r="V205">
        <v>2</v>
      </c>
      <c r="W205">
        <v>8834</v>
      </c>
      <c r="X205">
        <v>8833</v>
      </c>
    </row>
    <row r="206" spans="1:24" x14ac:dyDescent="0.2">
      <c r="A206" t="s">
        <v>1044</v>
      </c>
      <c r="B206" t="s">
        <v>58</v>
      </c>
      <c r="C206" t="s">
        <v>740</v>
      </c>
      <c r="D206" t="s">
        <v>1045</v>
      </c>
      <c r="G206" t="s">
        <v>1046</v>
      </c>
      <c r="H206" t="s">
        <v>1047</v>
      </c>
      <c r="I206" t="s">
        <v>495</v>
      </c>
      <c r="J206" t="s">
        <v>91</v>
      </c>
      <c r="K206" s="3" t="b">
        <v>1</v>
      </c>
      <c r="L206" s="3" t="b">
        <v>1</v>
      </c>
      <c r="M206" s="3" t="b">
        <v>0</v>
      </c>
      <c r="N206" s="3" t="b">
        <v>0</v>
      </c>
      <c r="O206" s="3" t="b">
        <v>1</v>
      </c>
      <c r="P206" s="3" t="b">
        <v>0</v>
      </c>
      <c r="Q206" s="3" t="b">
        <v>0</v>
      </c>
      <c r="R206" s="3" t="b">
        <v>0</v>
      </c>
      <c r="S206" s="3" t="b">
        <v>0</v>
      </c>
      <c r="T206">
        <v>2262</v>
      </c>
      <c r="U206">
        <v>77688</v>
      </c>
      <c r="V206">
        <v>1</v>
      </c>
      <c r="W206">
        <v>7049</v>
      </c>
      <c r="X206">
        <v>7046</v>
      </c>
    </row>
    <row r="207" spans="1:24" x14ac:dyDescent="0.2">
      <c r="A207" t="s">
        <v>1048</v>
      </c>
      <c r="B207" t="s">
        <v>58</v>
      </c>
      <c r="C207" t="s">
        <v>1049</v>
      </c>
      <c r="D207" t="s">
        <v>741</v>
      </c>
      <c r="G207" t="s">
        <v>1050</v>
      </c>
      <c r="H207" t="s">
        <v>1051</v>
      </c>
      <c r="I207" t="s">
        <v>290</v>
      </c>
      <c r="J207" t="s">
        <v>91</v>
      </c>
      <c r="K207" s="3" t="b">
        <v>1</v>
      </c>
      <c r="L207" s="3" t="b">
        <v>1</v>
      </c>
      <c r="M207" s="3" t="b">
        <v>0</v>
      </c>
      <c r="N207" s="3" t="b">
        <v>1</v>
      </c>
      <c r="O207" s="3" t="b">
        <v>0</v>
      </c>
      <c r="P207" s="3" t="b">
        <v>0</v>
      </c>
      <c r="Q207" s="3" t="b">
        <v>0</v>
      </c>
      <c r="R207" s="3" t="b">
        <v>0</v>
      </c>
      <c r="S207" s="3" t="b">
        <v>0</v>
      </c>
      <c r="T207">
        <v>1231</v>
      </c>
      <c r="U207">
        <v>46785</v>
      </c>
      <c r="V207">
        <v>1</v>
      </c>
      <c r="W207">
        <v>3373</v>
      </c>
      <c r="X207">
        <v>3372</v>
      </c>
    </row>
    <row r="208" spans="1:24" x14ac:dyDescent="0.2">
      <c r="A208" t="s">
        <v>1052</v>
      </c>
      <c r="B208" t="s">
        <v>24</v>
      </c>
      <c r="C208" t="s">
        <v>1053</v>
      </c>
      <c r="G208" t="s">
        <v>1054</v>
      </c>
      <c r="H208" t="s">
        <v>1055</v>
      </c>
      <c r="I208" t="s">
        <v>1056</v>
      </c>
      <c r="J208" t="s">
        <v>29</v>
      </c>
      <c r="K208" s="3" t="b">
        <v>1</v>
      </c>
      <c r="L208" s="3" t="b">
        <v>1</v>
      </c>
      <c r="M208" s="3" t="b">
        <v>0</v>
      </c>
      <c r="N208" s="3" t="b">
        <v>0</v>
      </c>
      <c r="O208" s="3" t="b">
        <v>1</v>
      </c>
      <c r="P208" s="3" t="b">
        <v>0</v>
      </c>
      <c r="Q208" s="3" t="b">
        <v>0</v>
      </c>
      <c r="R208" s="3" t="b">
        <v>0</v>
      </c>
      <c r="S208" s="3" t="b">
        <v>1</v>
      </c>
      <c r="T208">
        <v>2291</v>
      </c>
      <c r="U208">
        <v>82290</v>
      </c>
      <c r="V208">
        <v>1</v>
      </c>
      <c r="W208">
        <v>7225</v>
      </c>
      <c r="X208">
        <v>7223</v>
      </c>
    </row>
    <row r="209" spans="1:24" x14ac:dyDescent="0.2">
      <c r="A209" t="s">
        <v>1057</v>
      </c>
      <c r="B209" t="s">
        <v>58</v>
      </c>
      <c r="C209" t="s">
        <v>536</v>
      </c>
      <c r="D209" t="s">
        <v>741</v>
      </c>
      <c r="G209" t="s">
        <v>869</v>
      </c>
      <c r="H209" t="s">
        <v>870</v>
      </c>
      <c r="I209" t="s">
        <v>871</v>
      </c>
      <c r="J209" t="s">
        <v>1058</v>
      </c>
      <c r="K209" s="3" t="b">
        <v>1</v>
      </c>
      <c r="L209" s="3" t="b">
        <v>1</v>
      </c>
      <c r="M209" s="3" t="b">
        <v>0</v>
      </c>
      <c r="N209" s="3" t="b">
        <v>1</v>
      </c>
      <c r="O209" s="3" t="b">
        <v>1</v>
      </c>
      <c r="P209" s="3" t="b">
        <v>0</v>
      </c>
      <c r="Q209" s="3" t="b">
        <v>0</v>
      </c>
      <c r="R209" s="3" t="b">
        <v>0</v>
      </c>
      <c r="S209" s="3" t="b">
        <v>0</v>
      </c>
      <c r="T209">
        <v>92</v>
      </c>
      <c r="U209">
        <v>6567</v>
      </c>
      <c r="V209">
        <v>1</v>
      </c>
      <c r="W209">
        <v>297</v>
      </c>
      <c r="X209">
        <v>296</v>
      </c>
    </row>
    <row r="210" spans="1:24" x14ac:dyDescent="0.2">
      <c r="A210" t="s">
        <v>1059</v>
      </c>
      <c r="B210" t="s">
        <v>24</v>
      </c>
      <c r="C210" t="s">
        <v>1060</v>
      </c>
      <c r="G210" t="s">
        <v>1061</v>
      </c>
      <c r="H210" t="s">
        <v>1062</v>
      </c>
      <c r="I210" t="s">
        <v>408</v>
      </c>
      <c r="J210" t="s">
        <v>29</v>
      </c>
      <c r="K210" s="3" t="b">
        <v>1</v>
      </c>
      <c r="L210" s="3" t="b">
        <v>1</v>
      </c>
      <c r="M210" s="3" t="b">
        <v>0</v>
      </c>
      <c r="N210" s="3" t="b">
        <v>1</v>
      </c>
      <c r="O210" s="3" t="b">
        <v>0</v>
      </c>
      <c r="P210" s="3" t="b">
        <v>0</v>
      </c>
      <c r="Q210" s="3" t="b">
        <v>0</v>
      </c>
      <c r="R210" s="3" t="b">
        <v>0</v>
      </c>
      <c r="S210" s="3" t="b">
        <v>1</v>
      </c>
      <c r="T210">
        <v>439</v>
      </c>
      <c r="U210">
        <v>17600</v>
      </c>
      <c r="V210">
        <v>1</v>
      </c>
      <c r="W210">
        <v>1524</v>
      </c>
      <c r="X210">
        <v>1522</v>
      </c>
    </row>
    <row r="211" spans="1:24" x14ac:dyDescent="0.2">
      <c r="A211" t="s">
        <v>1063</v>
      </c>
      <c r="B211" t="s">
        <v>24</v>
      </c>
      <c r="C211" t="s">
        <v>1064</v>
      </c>
      <c r="D211" t="s">
        <v>1065</v>
      </c>
      <c r="F211" t="s">
        <v>1066</v>
      </c>
      <c r="G211" t="s">
        <v>1067</v>
      </c>
      <c r="H211" t="s">
        <v>1068</v>
      </c>
      <c r="I211" t="s">
        <v>579</v>
      </c>
      <c r="J211" t="s">
        <v>1069</v>
      </c>
      <c r="K211" s="3" t="b">
        <v>1</v>
      </c>
      <c r="L211" s="3" t="b">
        <v>1</v>
      </c>
      <c r="M211" s="3" t="b">
        <v>0</v>
      </c>
      <c r="N211" s="3" t="b">
        <v>1</v>
      </c>
      <c r="O211" s="3" t="b">
        <v>1</v>
      </c>
      <c r="P211" s="3" t="b">
        <v>0</v>
      </c>
      <c r="Q211" s="3" t="b">
        <v>0</v>
      </c>
      <c r="R211" s="3" t="b">
        <v>0</v>
      </c>
      <c r="S211" s="3" t="b">
        <v>0</v>
      </c>
      <c r="T211">
        <v>95</v>
      </c>
      <c r="U211">
        <v>6567</v>
      </c>
      <c r="V211">
        <v>1</v>
      </c>
      <c r="W211">
        <v>294</v>
      </c>
      <c r="X211">
        <v>293</v>
      </c>
    </row>
    <row r="212" spans="1:24" x14ac:dyDescent="0.2">
      <c r="A212" t="s">
        <v>1070</v>
      </c>
      <c r="B212" t="s">
        <v>24</v>
      </c>
      <c r="C212" t="s">
        <v>437</v>
      </c>
      <c r="G212" t="s">
        <v>1071</v>
      </c>
      <c r="H212" t="s">
        <v>1072</v>
      </c>
      <c r="I212" t="s">
        <v>1073</v>
      </c>
      <c r="J212" t="s">
        <v>29</v>
      </c>
      <c r="K212" s="3" t="b">
        <v>1</v>
      </c>
      <c r="L212" s="3" t="b">
        <v>0</v>
      </c>
      <c r="M212" s="3" t="b">
        <v>0</v>
      </c>
      <c r="N212" s="3" t="b">
        <v>0</v>
      </c>
      <c r="O212" s="3" t="b">
        <v>0</v>
      </c>
      <c r="P212" s="3" t="b">
        <v>0</v>
      </c>
      <c r="Q212" s="3" t="b">
        <v>0</v>
      </c>
      <c r="R212" s="3" t="b">
        <v>0</v>
      </c>
      <c r="S212" s="3" t="b">
        <v>0</v>
      </c>
      <c r="T212">
        <v>4276</v>
      </c>
      <c r="U212">
        <v>254933</v>
      </c>
      <c r="V212">
        <v>1</v>
      </c>
      <c r="W212">
        <v>15155</v>
      </c>
      <c r="X212">
        <v>15154</v>
      </c>
    </row>
    <row r="213" spans="1:24" x14ac:dyDescent="0.2">
      <c r="A213" t="s">
        <v>1074</v>
      </c>
      <c r="B213" t="s">
        <v>58</v>
      </c>
      <c r="C213" t="s">
        <v>934</v>
      </c>
      <c r="G213" t="s">
        <v>1075</v>
      </c>
      <c r="H213" t="s">
        <v>1076</v>
      </c>
      <c r="I213" t="s">
        <v>74</v>
      </c>
      <c r="J213" t="s">
        <v>91</v>
      </c>
      <c r="K213" s="3" t="b">
        <v>1</v>
      </c>
      <c r="L213" s="3" t="b">
        <v>1</v>
      </c>
      <c r="M213" s="3" t="b">
        <v>1</v>
      </c>
      <c r="N213" s="3" t="b">
        <v>1</v>
      </c>
      <c r="O213" s="3" t="b">
        <v>1</v>
      </c>
      <c r="P213" s="3" t="b">
        <v>0</v>
      </c>
      <c r="Q213" s="3" t="b">
        <v>0</v>
      </c>
      <c r="R213" s="3" t="b">
        <v>0</v>
      </c>
      <c r="S213" s="3" t="b">
        <v>0</v>
      </c>
      <c r="T213">
        <v>870</v>
      </c>
      <c r="U213">
        <v>29747</v>
      </c>
      <c r="V213">
        <v>1</v>
      </c>
      <c r="W213">
        <v>2551</v>
      </c>
      <c r="X213">
        <v>2550</v>
      </c>
    </row>
    <row r="214" spans="1:24" x14ac:dyDescent="0.2">
      <c r="A214" t="s">
        <v>1077</v>
      </c>
      <c r="B214" t="s">
        <v>31</v>
      </c>
      <c r="C214" t="s">
        <v>1078</v>
      </c>
      <c r="G214" t="s">
        <v>819</v>
      </c>
      <c r="H214" t="s">
        <v>820</v>
      </c>
      <c r="I214" t="s">
        <v>821</v>
      </c>
      <c r="J214" t="s">
        <v>29</v>
      </c>
      <c r="K214" s="3" t="b">
        <v>1</v>
      </c>
      <c r="L214" s="3" t="b">
        <v>1</v>
      </c>
      <c r="M214" s="3" t="b">
        <v>0</v>
      </c>
      <c r="N214" s="3" t="b">
        <v>1</v>
      </c>
      <c r="O214" s="3" t="b">
        <v>1</v>
      </c>
      <c r="P214" s="3" t="b">
        <v>0</v>
      </c>
      <c r="Q214" s="3" t="b">
        <v>0</v>
      </c>
      <c r="R214" s="3" t="b">
        <v>0</v>
      </c>
      <c r="S214" s="3" t="b">
        <v>0</v>
      </c>
      <c r="T214">
        <v>130</v>
      </c>
      <c r="U214">
        <v>7991</v>
      </c>
      <c r="V214">
        <v>1</v>
      </c>
      <c r="W214">
        <v>693</v>
      </c>
      <c r="X214">
        <v>692</v>
      </c>
    </row>
    <row r="215" spans="1:24" x14ac:dyDescent="0.2">
      <c r="A215" t="s">
        <v>1079</v>
      </c>
      <c r="B215" t="s">
        <v>51</v>
      </c>
      <c r="C215" t="s">
        <v>1080</v>
      </c>
      <c r="E215" t="s">
        <v>127</v>
      </c>
      <c r="G215" t="s">
        <v>1081</v>
      </c>
      <c r="H215" t="s">
        <v>1082</v>
      </c>
      <c r="I215" t="s">
        <v>1083</v>
      </c>
      <c r="J215" t="s">
        <v>91</v>
      </c>
      <c r="K215" s="3" t="b">
        <v>1</v>
      </c>
      <c r="L215" s="3" t="b">
        <v>1</v>
      </c>
      <c r="M215" s="3" t="b">
        <v>0</v>
      </c>
      <c r="N215" s="3" t="b">
        <v>1</v>
      </c>
      <c r="O215" s="3" t="b">
        <v>1</v>
      </c>
      <c r="P215" s="3" t="b">
        <v>0</v>
      </c>
      <c r="Q215" s="3" t="b">
        <v>0</v>
      </c>
      <c r="R215" s="3" t="b">
        <v>0</v>
      </c>
      <c r="S215" s="3" t="b">
        <v>0</v>
      </c>
      <c r="T215">
        <v>2806</v>
      </c>
      <c r="U215">
        <v>96297</v>
      </c>
      <c r="V215">
        <v>1</v>
      </c>
      <c r="W215">
        <v>8024</v>
      </c>
      <c r="X215">
        <v>8023</v>
      </c>
    </row>
    <row r="216" spans="1:24" x14ac:dyDescent="0.2">
      <c r="A216" t="s">
        <v>1084</v>
      </c>
      <c r="B216" t="s">
        <v>24</v>
      </c>
      <c r="C216" t="s">
        <v>1085</v>
      </c>
      <c r="D216" t="s">
        <v>1086</v>
      </c>
      <c r="G216" t="s">
        <v>726</v>
      </c>
      <c r="H216" t="s">
        <v>727</v>
      </c>
      <c r="I216" t="s">
        <v>728</v>
      </c>
      <c r="J216" t="s">
        <v>29</v>
      </c>
      <c r="K216" s="3" t="b">
        <v>1</v>
      </c>
      <c r="L216" s="3" t="b">
        <v>1</v>
      </c>
      <c r="M216" s="3" t="b">
        <v>0</v>
      </c>
      <c r="N216" s="3" t="b">
        <v>1</v>
      </c>
      <c r="O216" s="3" t="b">
        <v>1</v>
      </c>
      <c r="P216" s="3" t="b">
        <v>0</v>
      </c>
      <c r="Q216" s="3" t="b">
        <v>0</v>
      </c>
      <c r="R216" s="3" t="b">
        <v>0</v>
      </c>
      <c r="S216" s="3" t="b">
        <v>0</v>
      </c>
      <c r="T216">
        <v>942</v>
      </c>
      <c r="U216">
        <v>34392</v>
      </c>
      <c r="V216">
        <v>1</v>
      </c>
      <c r="W216">
        <v>2644</v>
      </c>
      <c r="X216">
        <v>2643</v>
      </c>
    </row>
    <row r="217" spans="1:24" x14ac:dyDescent="0.2">
      <c r="A217" t="s">
        <v>1087</v>
      </c>
      <c r="B217" t="s">
        <v>24</v>
      </c>
      <c r="C217" t="s">
        <v>1088</v>
      </c>
      <c r="D217" t="s">
        <v>1089</v>
      </c>
      <c r="F217" t="s">
        <v>1090</v>
      </c>
      <c r="G217" t="s">
        <v>1091</v>
      </c>
      <c r="H217" t="s">
        <v>1092</v>
      </c>
      <c r="I217" t="s">
        <v>1093</v>
      </c>
      <c r="J217" t="s">
        <v>29</v>
      </c>
      <c r="K217" s="3" t="b">
        <v>1</v>
      </c>
      <c r="L217" s="3" t="b">
        <v>1</v>
      </c>
      <c r="M217" s="3" t="b">
        <v>0</v>
      </c>
      <c r="N217" s="3" t="b">
        <v>1</v>
      </c>
      <c r="O217" s="3" t="b">
        <v>1</v>
      </c>
      <c r="P217" s="3" t="b">
        <v>0</v>
      </c>
      <c r="Q217" s="3" t="b">
        <v>0</v>
      </c>
      <c r="R217" s="3" t="b">
        <v>0</v>
      </c>
      <c r="S217" s="3" t="b">
        <v>0</v>
      </c>
      <c r="T217">
        <v>4116</v>
      </c>
      <c r="U217">
        <v>226242</v>
      </c>
      <c r="V217">
        <v>1</v>
      </c>
      <c r="W217">
        <v>14869</v>
      </c>
      <c r="X217">
        <v>14868</v>
      </c>
    </row>
    <row r="218" spans="1:24" x14ac:dyDescent="0.2">
      <c r="A218" t="s">
        <v>1094</v>
      </c>
      <c r="B218" t="s">
        <v>31</v>
      </c>
      <c r="C218" t="s">
        <v>602</v>
      </c>
      <c r="G218" t="s">
        <v>487</v>
      </c>
      <c r="H218" t="s">
        <v>488</v>
      </c>
      <c r="I218" t="s">
        <v>489</v>
      </c>
      <c r="J218" t="s">
        <v>780</v>
      </c>
      <c r="K218" s="3" t="b">
        <v>1</v>
      </c>
      <c r="L218" s="3" t="b">
        <v>1</v>
      </c>
      <c r="M218" s="3" t="b">
        <v>0</v>
      </c>
      <c r="N218" s="3" t="b">
        <v>1</v>
      </c>
      <c r="O218" s="3" t="b">
        <v>0</v>
      </c>
      <c r="P218" s="3" t="b">
        <v>0</v>
      </c>
      <c r="Q218" s="3" t="b">
        <v>0</v>
      </c>
      <c r="R218" s="3" t="b">
        <v>0</v>
      </c>
      <c r="S218" s="3" t="b">
        <v>0</v>
      </c>
      <c r="T218">
        <v>2078</v>
      </c>
      <c r="U218">
        <v>72168</v>
      </c>
      <c r="V218">
        <v>1</v>
      </c>
      <c r="W218">
        <v>6460</v>
      </c>
      <c r="X218">
        <v>6459</v>
      </c>
    </row>
    <row r="219" spans="1:24" x14ac:dyDescent="0.2">
      <c r="A219" t="s">
        <v>1095</v>
      </c>
      <c r="B219" t="s">
        <v>24</v>
      </c>
      <c r="C219" t="s">
        <v>1096</v>
      </c>
      <c r="G219" t="s">
        <v>1071</v>
      </c>
      <c r="H219" t="s">
        <v>1072</v>
      </c>
      <c r="I219" t="s">
        <v>1073</v>
      </c>
      <c r="J219" t="s">
        <v>29</v>
      </c>
      <c r="K219" s="3" t="b">
        <v>1</v>
      </c>
      <c r="L219" s="3" t="b">
        <v>0</v>
      </c>
      <c r="M219" s="3" t="b">
        <v>0</v>
      </c>
      <c r="N219" s="3" t="b">
        <v>0</v>
      </c>
      <c r="O219" s="3" t="b">
        <v>0</v>
      </c>
      <c r="P219" s="3" t="b">
        <v>0</v>
      </c>
      <c r="Q219" s="3" t="b">
        <v>0</v>
      </c>
      <c r="R219" s="3" t="b">
        <v>0</v>
      </c>
      <c r="S219" s="3" t="b">
        <v>0</v>
      </c>
      <c r="T219">
        <v>4276</v>
      </c>
      <c r="U219">
        <v>254933</v>
      </c>
      <c r="V219">
        <v>1</v>
      </c>
      <c r="W219">
        <v>15155</v>
      </c>
      <c r="X219">
        <v>15154</v>
      </c>
    </row>
    <row r="220" spans="1:24" x14ac:dyDescent="0.2">
      <c r="A220" t="s">
        <v>1097</v>
      </c>
      <c r="B220" t="s">
        <v>58</v>
      </c>
      <c r="C220" t="s">
        <v>1098</v>
      </c>
      <c r="G220" t="s">
        <v>991</v>
      </c>
      <c r="H220" t="s">
        <v>992</v>
      </c>
      <c r="I220" t="s">
        <v>993</v>
      </c>
      <c r="J220" t="s">
        <v>227</v>
      </c>
      <c r="K220" s="3" t="b">
        <v>1</v>
      </c>
      <c r="L220" s="3" t="b">
        <v>0</v>
      </c>
      <c r="M220" s="3" t="b">
        <v>0</v>
      </c>
      <c r="N220" s="3" t="b">
        <v>0</v>
      </c>
      <c r="O220" s="3" t="b">
        <v>0</v>
      </c>
      <c r="P220" s="3" t="b">
        <v>0</v>
      </c>
      <c r="Q220" s="3" t="b">
        <v>0</v>
      </c>
      <c r="R220" s="3" t="b">
        <v>0</v>
      </c>
      <c r="S220" s="3" t="b">
        <v>0</v>
      </c>
      <c r="T220">
        <v>1778</v>
      </c>
      <c r="U220">
        <v>58507</v>
      </c>
      <c r="V220">
        <v>1</v>
      </c>
      <c r="W220">
        <v>5298</v>
      </c>
      <c r="X220">
        <v>5295</v>
      </c>
    </row>
    <row r="221" spans="1:24" x14ac:dyDescent="0.2">
      <c r="A221" t="s">
        <v>1099</v>
      </c>
      <c r="B221" t="s">
        <v>24</v>
      </c>
      <c r="C221" t="s">
        <v>1100</v>
      </c>
      <c r="D221" t="s">
        <v>1101</v>
      </c>
      <c r="F221" t="s">
        <v>1102</v>
      </c>
      <c r="G221" t="s">
        <v>136</v>
      </c>
      <c r="H221" t="s">
        <v>137</v>
      </c>
      <c r="I221" t="s">
        <v>138</v>
      </c>
      <c r="J221" t="s">
        <v>91</v>
      </c>
      <c r="K221" s="3" t="b">
        <v>1</v>
      </c>
      <c r="L221" s="3" t="b">
        <v>1</v>
      </c>
      <c r="M221" s="3" t="b">
        <v>0</v>
      </c>
      <c r="N221" s="3" t="b">
        <v>1</v>
      </c>
      <c r="O221" s="3" t="b">
        <v>1</v>
      </c>
      <c r="P221" s="3" t="b">
        <v>0</v>
      </c>
      <c r="Q221" s="3" t="b">
        <v>0</v>
      </c>
      <c r="R221" s="3" t="b">
        <v>0</v>
      </c>
      <c r="S221" s="3" t="b">
        <v>0</v>
      </c>
      <c r="T221">
        <v>3613</v>
      </c>
      <c r="U221">
        <v>149926</v>
      </c>
      <c r="V221">
        <v>1</v>
      </c>
      <c r="W221">
        <v>13077</v>
      </c>
      <c r="X221">
        <v>13076</v>
      </c>
    </row>
    <row r="222" spans="1:24" x14ac:dyDescent="0.2">
      <c r="A222" t="s">
        <v>1103</v>
      </c>
      <c r="B222" t="s">
        <v>31</v>
      </c>
      <c r="C222" t="s">
        <v>646</v>
      </c>
      <c r="G222" t="s">
        <v>1104</v>
      </c>
      <c r="H222" t="s">
        <v>1105</v>
      </c>
      <c r="I222" t="s">
        <v>1106</v>
      </c>
      <c r="J222" t="s">
        <v>29</v>
      </c>
      <c r="K222" s="3" t="b">
        <v>1</v>
      </c>
      <c r="L222" s="3" t="b">
        <v>0</v>
      </c>
      <c r="M222" s="3" t="b">
        <v>0</v>
      </c>
      <c r="N222" s="3" t="b">
        <v>0</v>
      </c>
      <c r="O222" s="3" t="b">
        <v>0</v>
      </c>
      <c r="P222" s="3" t="b">
        <v>0</v>
      </c>
      <c r="Q222" s="3" t="b">
        <v>0</v>
      </c>
      <c r="R222" s="3" t="b">
        <v>0</v>
      </c>
      <c r="S222" s="3" t="b">
        <v>0</v>
      </c>
      <c r="T222">
        <v>4282</v>
      </c>
      <c r="U222">
        <v>255025</v>
      </c>
      <c r="V222">
        <v>1</v>
      </c>
      <c r="W222">
        <v>15225</v>
      </c>
      <c r="X222">
        <v>15224</v>
      </c>
    </row>
    <row r="223" spans="1:24" x14ac:dyDescent="0.2">
      <c r="A223" t="s">
        <v>1107</v>
      </c>
      <c r="B223" t="s">
        <v>58</v>
      </c>
      <c r="C223" t="s">
        <v>158</v>
      </c>
      <c r="D223" t="s">
        <v>1108</v>
      </c>
      <c r="G223" t="s">
        <v>1109</v>
      </c>
      <c r="H223" t="s">
        <v>1110</v>
      </c>
      <c r="I223" t="s">
        <v>1111</v>
      </c>
      <c r="J223" t="s">
        <v>91</v>
      </c>
      <c r="K223" s="3" t="b">
        <v>1</v>
      </c>
      <c r="L223" s="3" t="b">
        <v>0</v>
      </c>
      <c r="M223" s="3" t="b">
        <v>0</v>
      </c>
      <c r="N223" s="3" t="b">
        <v>0</v>
      </c>
      <c r="O223" s="3" t="b">
        <v>0</v>
      </c>
      <c r="P223" s="3" t="b">
        <v>0</v>
      </c>
      <c r="Q223" s="3" t="b">
        <v>0</v>
      </c>
      <c r="R223" s="3" t="b">
        <v>0</v>
      </c>
      <c r="S223" s="3" t="b">
        <v>0</v>
      </c>
      <c r="T223">
        <v>114</v>
      </c>
      <c r="U223">
        <v>7704</v>
      </c>
      <c r="V223">
        <v>1</v>
      </c>
      <c r="W223">
        <v>653</v>
      </c>
      <c r="X223">
        <v>646</v>
      </c>
    </row>
    <row r="224" spans="1:24" x14ac:dyDescent="0.2">
      <c r="A224" t="s">
        <v>1112</v>
      </c>
      <c r="B224" t="s">
        <v>31</v>
      </c>
      <c r="C224" t="s">
        <v>1113</v>
      </c>
      <c r="D224" t="s">
        <v>1065</v>
      </c>
      <c r="G224" t="s">
        <v>589</v>
      </c>
      <c r="H224" t="s">
        <v>590</v>
      </c>
      <c r="I224" t="s">
        <v>591</v>
      </c>
      <c r="J224" t="s">
        <v>1114</v>
      </c>
      <c r="K224" s="3" t="b">
        <v>1</v>
      </c>
      <c r="L224" s="3" t="b">
        <v>1</v>
      </c>
      <c r="M224" s="3" t="b">
        <v>0</v>
      </c>
      <c r="N224" s="3" t="b">
        <v>1</v>
      </c>
      <c r="O224" s="3" t="b">
        <v>1</v>
      </c>
      <c r="P224" s="3" t="b">
        <v>0</v>
      </c>
      <c r="Q224" s="3" t="b">
        <v>0</v>
      </c>
      <c r="R224" s="3" t="b">
        <v>0</v>
      </c>
      <c r="S224" s="3" t="b">
        <v>1</v>
      </c>
      <c r="T224">
        <v>23</v>
      </c>
      <c r="U224">
        <v>1649</v>
      </c>
      <c r="V224">
        <v>1</v>
      </c>
      <c r="W224">
        <v>98</v>
      </c>
      <c r="X224">
        <v>97</v>
      </c>
    </row>
    <row r="225" spans="1:24" x14ac:dyDescent="0.2">
      <c r="A225" t="s">
        <v>1115</v>
      </c>
      <c r="B225" t="s">
        <v>24</v>
      </c>
      <c r="C225" t="s">
        <v>763</v>
      </c>
      <c r="D225" t="s">
        <v>1116</v>
      </c>
      <c r="F225" t="s">
        <v>1117</v>
      </c>
      <c r="G225" t="s">
        <v>1118</v>
      </c>
      <c r="H225" t="s">
        <v>1119</v>
      </c>
      <c r="I225" t="s">
        <v>1120</v>
      </c>
      <c r="J225" t="s">
        <v>91</v>
      </c>
      <c r="K225" s="3" t="b">
        <v>1</v>
      </c>
      <c r="L225" s="3" t="b">
        <v>0</v>
      </c>
      <c r="M225" s="3" t="b">
        <v>0</v>
      </c>
      <c r="N225" s="3" t="b">
        <v>0</v>
      </c>
      <c r="O225" s="3" t="b">
        <v>0</v>
      </c>
      <c r="P225" s="3" t="b">
        <v>0</v>
      </c>
      <c r="Q225" s="3" t="b">
        <v>0</v>
      </c>
      <c r="R225" s="3" t="b">
        <v>0</v>
      </c>
      <c r="S225" s="3" t="b">
        <v>0</v>
      </c>
      <c r="T225">
        <v>1806</v>
      </c>
      <c r="U225">
        <v>59312</v>
      </c>
      <c r="V225">
        <v>1</v>
      </c>
      <c r="W225">
        <v>5379</v>
      </c>
      <c r="X225">
        <v>5378</v>
      </c>
    </row>
    <row r="226" spans="1:24" x14ac:dyDescent="0.2">
      <c r="A226" t="s">
        <v>1121</v>
      </c>
      <c r="B226" t="s">
        <v>24</v>
      </c>
      <c r="C226" t="s">
        <v>234</v>
      </c>
      <c r="G226" t="s">
        <v>1122</v>
      </c>
      <c r="H226" t="s">
        <v>1123</v>
      </c>
      <c r="I226" t="s">
        <v>693</v>
      </c>
      <c r="J226" t="s">
        <v>29</v>
      </c>
      <c r="K226" s="3" t="b">
        <v>1</v>
      </c>
      <c r="L226" s="3" t="b">
        <v>1</v>
      </c>
      <c r="M226" s="3" t="b">
        <v>0</v>
      </c>
      <c r="N226" s="3" t="b">
        <v>1</v>
      </c>
      <c r="O226" s="3" t="b">
        <v>1</v>
      </c>
      <c r="P226" s="3" t="b">
        <v>0</v>
      </c>
      <c r="Q226" s="3" t="b">
        <v>0</v>
      </c>
      <c r="R226" s="3" t="b">
        <v>0</v>
      </c>
      <c r="S226" s="3" t="b">
        <v>0</v>
      </c>
      <c r="T226">
        <v>39</v>
      </c>
      <c r="U226">
        <v>2403</v>
      </c>
      <c r="V226">
        <v>1</v>
      </c>
      <c r="W226">
        <v>147</v>
      </c>
      <c r="X226">
        <v>146</v>
      </c>
    </row>
    <row r="227" spans="1:24" x14ac:dyDescent="0.2">
      <c r="A227" t="s">
        <v>1124</v>
      </c>
      <c r="B227" t="s">
        <v>31</v>
      </c>
      <c r="C227" t="s">
        <v>1125</v>
      </c>
      <c r="D227" t="s">
        <v>1126</v>
      </c>
      <c r="G227" t="s">
        <v>1127</v>
      </c>
      <c r="H227" t="s">
        <v>1128</v>
      </c>
      <c r="I227" t="s">
        <v>1129</v>
      </c>
      <c r="J227" t="s">
        <v>91</v>
      </c>
      <c r="K227" s="3" t="b">
        <v>1</v>
      </c>
      <c r="L227" s="3" t="b">
        <v>1</v>
      </c>
      <c r="M227" s="3" t="b">
        <v>0</v>
      </c>
      <c r="N227" s="3" t="b">
        <v>1</v>
      </c>
      <c r="O227" s="3" t="b">
        <v>1</v>
      </c>
      <c r="P227" s="3" t="b">
        <v>0</v>
      </c>
      <c r="Q227" s="3" t="b">
        <v>0</v>
      </c>
      <c r="R227" s="3" t="b">
        <v>0</v>
      </c>
      <c r="S227" s="3" t="b">
        <v>0</v>
      </c>
      <c r="T227">
        <v>2397</v>
      </c>
      <c r="U227">
        <v>86906</v>
      </c>
      <c r="V227">
        <v>1</v>
      </c>
      <c r="W227">
        <v>7478</v>
      </c>
      <c r="X227">
        <v>7477</v>
      </c>
    </row>
    <row r="228" spans="1:24" x14ac:dyDescent="0.2">
      <c r="A228" t="s">
        <v>1130</v>
      </c>
      <c r="B228" t="s">
        <v>31</v>
      </c>
      <c r="C228" t="s">
        <v>442</v>
      </c>
      <c r="G228" t="s">
        <v>1131</v>
      </c>
      <c r="H228" t="s">
        <v>1132</v>
      </c>
      <c r="I228" t="s">
        <v>1133</v>
      </c>
      <c r="J228" t="s">
        <v>1134</v>
      </c>
      <c r="K228" s="3" t="b">
        <v>1</v>
      </c>
      <c r="L228" s="3" t="b">
        <v>0</v>
      </c>
      <c r="M228" s="3" t="b">
        <v>0</v>
      </c>
      <c r="N228" s="3" t="b">
        <v>0</v>
      </c>
      <c r="O228" s="3" t="b">
        <v>0</v>
      </c>
      <c r="P228" s="3" t="b">
        <v>0</v>
      </c>
      <c r="Q228" s="3" t="b">
        <v>0</v>
      </c>
      <c r="R228" s="3" t="b">
        <v>0</v>
      </c>
      <c r="S228" s="3" t="b">
        <v>0</v>
      </c>
      <c r="T228">
        <v>3823</v>
      </c>
      <c r="U228">
        <v>180769</v>
      </c>
      <c r="V228">
        <v>1</v>
      </c>
      <c r="W228">
        <v>13514</v>
      </c>
      <c r="X228">
        <v>13513</v>
      </c>
    </row>
    <row r="229" spans="1:24" x14ac:dyDescent="0.2">
      <c r="A229" t="s">
        <v>1135</v>
      </c>
      <c r="B229" t="s">
        <v>24</v>
      </c>
      <c r="C229" t="s">
        <v>1136</v>
      </c>
      <c r="G229" t="s">
        <v>1137</v>
      </c>
      <c r="H229" t="s">
        <v>1138</v>
      </c>
      <c r="I229" t="s">
        <v>693</v>
      </c>
      <c r="J229" t="s">
        <v>29</v>
      </c>
      <c r="K229" s="3" t="b">
        <v>1</v>
      </c>
      <c r="L229" s="3" t="b">
        <v>1</v>
      </c>
      <c r="M229" s="3" t="b">
        <v>0</v>
      </c>
      <c r="N229" s="3" t="b">
        <v>1</v>
      </c>
      <c r="O229" s="3" t="b">
        <v>0</v>
      </c>
      <c r="P229" s="3" t="b">
        <v>0</v>
      </c>
      <c r="Q229" s="3" t="b">
        <v>0</v>
      </c>
      <c r="R229" s="3" t="b">
        <v>0</v>
      </c>
      <c r="S229" s="3" t="b">
        <v>0</v>
      </c>
      <c r="T229">
        <v>39</v>
      </c>
      <c r="U229">
        <v>2403</v>
      </c>
      <c r="V229">
        <v>1</v>
      </c>
      <c r="W229">
        <v>147</v>
      </c>
      <c r="X229">
        <v>146</v>
      </c>
    </row>
    <row r="230" spans="1:24" x14ac:dyDescent="0.2">
      <c r="A230" t="s">
        <v>1139</v>
      </c>
      <c r="B230" t="s">
        <v>31</v>
      </c>
      <c r="C230" t="s">
        <v>1140</v>
      </c>
      <c r="D230" t="s">
        <v>741</v>
      </c>
      <c r="G230" t="s">
        <v>869</v>
      </c>
      <c r="H230" t="s">
        <v>870</v>
      </c>
      <c r="I230" t="s">
        <v>871</v>
      </c>
      <c r="J230" t="s">
        <v>1141</v>
      </c>
      <c r="K230" s="3" t="b">
        <v>1</v>
      </c>
      <c r="L230" s="3" t="b">
        <v>1</v>
      </c>
      <c r="M230" s="3" t="b">
        <v>0</v>
      </c>
      <c r="N230" s="3" t="b">
        <v>1</v>
      </c>
      <c r="O230" s="3" t="b">
        <v>0</v>
      </c>
      <c r="P230" s="3" t="b">
        <v>0</v>
      </c>
      <c r="Q230" s="3" t="b">
        <v>0</v>
      </c>
      <c r="R230" s="3" t="b">
        <v>0</v>
      </c>
      <c r="S230" s="3" t="b">
        <v>0</v>
      </c>
      <c r="T230">
        <v>92</v>
      </c>
      <c r="U230">
        <v>6567</v>
      </c>
      <c r="V230">
        <v>1</v>
      </c>
      <c r="W230">
        <v>297</v>
      </c>
      <c r="X230">
        <v>296</v>
      </c>
    </row>
    <row r="231" spans="1:24" x14ac:dyDescent="0.2">
      <c r="A231" t="s">
        <v>1142</v>
      </c>
      <c r="B231" t="s">
        <v>24</v>
      </c>
      <c r="C231" t="s">
        <v>1143</v>
      </c>
      <c r="D231" t="s">
        <v>1144</v>
      </c>
      <c r="G231" t="s">
        <v>1145</v>
      </c>
      <c r="H231" t="s">
        <v>1146</v>
      </c>
      <c r="I231" t="s">
        <v>728</v>
      </c>
      <c r="J231" t="s">
        <v>29</v>
      </c>
      <c r="K231" s="3" t="b">
        <v>1</v>
      </c>
      <c r="L231" s="3" t="b">
        <v>1</v>
      </c>
      <c r="M231" s="3" t="b">
        <v>0</v>
      </c>
      <c r="N231" s="3" t="b">
        <v>1</v>
      </c>
      <c r="O231" s="3" t="b">
        <v>1</v>
      </c>
      <c r="P231" s="3" t="b">
        <v>0</v>
      </c>
      <c r="Q231" s="3" t="b">
        <v>0</v>
      </c>
      <c r="R231" s="3" t="b">
        <v>0</v>
      </c>
      <c r="S231" s="3" t="b">
        <v>0</v>
      </c>
      <c r="T231">
        <v>942</v>
      </c>
      <c r="U231">
        <v>34392</v>
      </c>
      <c r="V231">
        <v>1</v>
      </c>
      <c r="W231">
        <v>2644</v>
      </c>
      <c r="X231">
        <v>2643</v>
      </c>
    </row>
    <row r="232" spans="1:24" x14ac:dyDescent="0.2">
      <c r="A232" t="s">
        <v>1147</v>
      </c>
      <c r="B232" t="s">
        <v>24</v>
      </c>
      <c r="C232" t="s">
        <v>1148</v>
      </c>
      <c r="D232" t="s">
        <v>1149</v>
      </c>
      <c r="F232" t="s">
        <v>1150</v>
      </c>
      <c r="G232" t="s">
        <v>1151</v>
      </c>
      <c r="H232" t="s">
        <v>1152</v>
      </c>
      <c r="I232" t="s">
        <v>1153</v>
      </c>
      <c r="J232" t="s">
        <v>91</v>
      </c>
      <c r="K232" s="3" t="b">
        <v>1</v>
      </c>
      <c r="L232" s="3" t="b">
        <v>1</v>
      </c>
      <c r="M232" s="3" t="b">
        <v>0</v>
      </c>
      <c r="N232" s="3" t="b">
        <v>1</v>
      </c>
      <c r="O232" s="3" t="b">
        <v>0</v>
      </c>
      <c r="P232" s="3" t="b">
        <v>0</v>
      </c>
      <c r="Q232" s="3" t="b">
        <v>0</v>
      </c>
      <c r="R232" s="3" t="b">
        <v>0</v>
      </c>
      <c r="S232" s="3" t="b">
        <v>0</v>
      </c>
      <c r="T232">
        <v>3261</v>
      </c>
      <c r="U232">
        <v>109354</v>
      </c>
      <c r="V232">
        <v>1</v>
      </c>
      <c r="W232">
        <v>11142</v>
      </c>
      <c r="X232">
        <v>11141</v>
      </c>
    </row>
    <row r="233" spans="1:24" x14ac:dyDescent="0.2">
      <c r="A233" t="s">
        <v>1154</v>
      </c>
      <c r="B233" t="s">
        <v>31</v>
      </c>
      <c r="C233" t="s">
        <v>1155</v>
      </c>
      <c r="D233" t="s">
        <v>1156</v>
      </c>
      <c r="G233" t="s">
        <v>1157</v>
      </c>
      <c r="H233" t="s">
        <v>1158</v>
      </c>
      <c r="I233" t="s">
        <v>1159</v>
      </c>
      <c r="J233" t="s">
        <v>91</v>
      </c>
      <c r="K233" s="3" t="b">
        <v>1</v>
      </c>
      <c r="L233" s="3" t="b">
        <v>1</v>
      </c>
      <c r="M233" s="3" t="b">
        <v>0</v>
      </c>
      <c r="N233" s="3" t="b">
        <v>1</v>
      </c>
      <c r="O233" s="3" t="b">
        <v>0</v>
      </c>
      <c r="P233" s="3" t="b">
        <v>0</v>
      </c>
      <c r="Q233" s="3" t="b">
        <v>0</v>
      </c>
      <c r="R233" s="3" t="b">
        <v>0</v>
      </c>
      <c r="S233" s="3" t="b">
        <v>0</v>
      </c>
      <c r="T233">
        <v>2764</v>
      </c>
      <c r="U233">
        <v>96297</v>
      </c>
      <c r="V233">
        <v>1</v>
      </c>
      <c r="W233">
        <v>8071</v>
      </c>
      <c r="X233">
        <v>8067</v>
      </c>
    </row>
    <row r="234" spans="1:24" x14ac:dyDescent="0.2">
      <c r="A234" t="s">
        <v>1160</v>
      </c>
      <c r="B234" t="s">
        <v>31</v>
      </c>
      <c r="C234" t="s">
        <v>1161</v>
      </c>
      <c r="D234" t="s">
        <v>1162</v>
      </c>
      <c r="G234" t="s">
        <v>100</v>
      </c>
      <c r="H234" t="s">
        <v>101</v>
      </c>
      <c r="I234" t="s">
        <v>102</v>
      </c>
      <c r="J234" t="s">
        <v>91</v>
      </c>
      <c r="K234" s="3" t="b">
        <v>1</v>
      </c>
      <c r="L234" s="3" t="b">
        <v>1</v>
      </c>
      <c r="M234" s="3" t="b">
        <v>0</v>
      </c>
      <c r="N234" s="3" t="b">
        <v>1</v>
      </c>
      <c r="O234" s="3" t="b">
        <v>0</v>
      </c>
      <c r="P234" s="3" t="b">
        <v>0</v>
      </c>
      <c r="Q234" s="3" t="b">
        <v>0</v>
      </c>
      <c r="R234" s="3" t="b">
        <v>0</v>
      </c>
      <c r="S234" s="3" t="b">
        <v>0</v>
      </c>
      <c r="T234">
        <v>2265</v>
      </c>
      <c r="U234">
        <v>77688</v>
      </c>
      <c r="V234">
        <v>2</v>
      </c>
      <c r="W234">
        <v>7043</v>
      </c>
      <c r="X234">
        <v>7042</v>
      </c>
    </row>
    <row r="235" spans="1:24" x14ac:dyDescent="0.2">
      <c r="A235" t="s">
        <v>1163</v>
      </c>
      <c r="B235" t="s">
        <v>31</v>
      </c>
      <c r="C235" t="s">
        <v>1164</v>
      </c>
      <c r="D235" t="s">
        <v>1165</v>
      </c>
      <c r="G235" t="s">
        <v>1166</v>
      </c>
      <c r="H235" t="s">
        <v>1167</v>
      </c>
      <c r="I235" t="s">
        <v>1168</v>
      </c>
      <c r="J235" t="s">
        <v>465</v>
      </c>
      <c r="K235" s="3" t="b">
        <v>1</v>
      </c>
      <c r="L235" s="3" t="b">
        <v>1</v>
      </c>
      <c r="M235" s="3" t="b">
        <v>0</v>
      </c>
      <c r="N235" s="3" t="b">
        <v>1</v>
      </c>
      <c r="O235" s="3" t="b">
        <v>0</v>
      </c>
      <c r="P235" s="3" t="b">
        <v>0</v>
      </c>
      <c r="Q235" s="3" t="b">
        <v>0</v>
      </c>
      <c r="R235" s="3" t="b">
        <v>0</v>
      </c>
      <c r="S235" s="3" t="b">
        <v>0</v>
      </c>
      <c r="T235">
        <v>4044</v>
      </c>
      <c r="U235">
        <v>217124</v>
      </c>
      <c r="V235">
        <v>1</v>
      </c>
      <c r="W235">
        <v>14598</v>
      </c>
      <c r="X235">
        <v>14597</v>
      </c>
    </row>
    <row r="236" spans="1:24" x14ac:dyDescent="0.2">
      <c r="A236" t="s">
        <v>1169</v>
      </c>
      <c r="B236" t="s">
        <v>58</v>
      </c>
      <c r="C236" t="s">
        <v>297</v>
      </c>
      <c r="G236" t="s">
        <v>1170</v>
      </c>
      <c r="H236" t="s">
        <v>1171</v>
      </c>
      <c r="I236" t="s">
        <v>1172</v>
      </c>
      <c r="J236" t="s">
        <v>63</v>
      </c>
      <c r="K236" s="3" t="b">
        <v>1</v>
      </c>
      <c r="L236" s="3" t="b">
        <v>0</v>
      </c>
      <c r="M236" s="3" t="b">
        <v>0</v>
      </c>
      <c r="N236" s="3" t="b">
        <v>0</v>
      </c>
      <c r="O236" s="3" t="b">
        <v>0</v>
      </c>
      <c r="P236" s="3" t="b">
        <v>0</v>
      </c>
      <c r="Q236" s="3" t="b">
        <v>0</v>
      </c>
      <c r="R236" s="3" t="b">
        <v>0</v>
      </c>
      <c r="S236" s="3" t="b">
        <v>0</v>
      </c>
      <c r="T236">
        <v>2974</v>
      </c>
      <c r="U236">
        <v>100900</v>
      </c>
      <c r="V236">
        <v>2</v>
      </c>
      <c r="W236">
        <v>8822</v>
      </c>
      <c r="X236">
        <v>8821</v>
      </c>
    </row>
    <row r="237" spans="1:24" x14ac:dyDescent="0.2">
      <c r="A237" t="s">
        <v>1173</v>
      </c>
      <c r="B237" t="s">
        <v>58</v>
      </c>
      <c r="C237" t="s">
        <v>1174</v>
      </c>
      <c r="G237" t="s">
        <v>242</v>
      </c>
      <c r="H237" t="s">
        <v>243</v>
      </c>
      <c r="I237" t="s">
        <v>244</v>
      </c>
      <c r="J237" t="s">
        <v>91</v>
      </c>
      <c r="K237" s="3" t="b">
        <v>1</v>
      </c>
      <c r="L237" s="3" t="b">
        <v>0</v>
      </c>
      <c r="M237" s="3" t="b">
        <v>0</v>
      </c>
      <c r="N237" s="3" t="b">
        <v>0</v>
      </c>
      <c r="O237" s="3" t="b">
        <v>0</v>
      </c>
      <c r="P237" s="3" t="b">
        <v>0</v>
      </c>
      <c r="Q237" s="3" t="b">
        <v>0</v>
      </c>
      <c r="R237" s="3" t="b">
        <v>0</v>
      </c>
      <c r="S237" s="3" t="b">
        <v>0</v>
      </c>
      <c r="T237">
        <v>4027</v>
      </c>
      <c r="U237">
        <v>212418</v>
      </c>
      <c r="V237">
        <v>1</v>
      </c>
      <c r="W237">
        <v>14520</v>
      </c>
      <c r="X237">
        <v>14519</v>
      </c>
    </row>
    <row r="238" spans="1:24" x14ac:dyDescent="0.2">
      <c r="A238" t="s">
        <v>1175</v>
      </c>
      <c r="B238" t="s">
        <v>58</v>
      </c>
      <c r="C238" t="s">
        <v>1176</v>
      </c>
      <c r="D238" t="s">
        <v>1177</v>
      </c>
      <c r="G238" t="s">
        <v>713</v>
      </c>
      <c r="H238" t="s">
        <v>714</v>
      </c>
      <c r="I238" t="s">
        <v>715</v>
      </c>
      <c r="J238" t="s">
        <v>91</v>
      </c>
      <c r="K238" s="3" t="b">
        <v>1</v>
      </c>
      <c r="L238" s="3" t="b">
        <v>1</v>
      </c>
      <c r="M238" s="3" t="b">
        <v>0</v>
      </c>
      <c r="N238" s="3" t="b">
        <v>1</v>
      </c>
      <c r="O238" s="3" t="b">
        <v>1</v>
      </c>
      <c r="P238" s="3" t="b">
        <v>0</v>
      </c>
      <c r="Q238" s="3" t="b">
        <v>0</v>
      </c>
      <c r="R238" s="3" t="b">
        <v>0</v>
      </c>
      <c r="S238" s="3" t="b">
        <v>0</v>
      </c>
      <c r="T238">
        <v>2866</v>
      </c>
      <c r="U238">
        <v>97877</v>
      </c>
      <c r="V238">
        <v>1</v>
      </c>
      <c r="W238">
        <v>8512</v>
      </c>
      <c r="X238">
        <v>8511</v>
      </c>
    </row>
    <row r="239" spans="1:24" x14ac:dyDescent="0.2">
      <c r="A239" t="s">
        <v>1178</v>
      </c>
      <c r="B239" t="s">
        <v>31</v>
      </c>
      <c r="C239" t="s">
        <v>1179</v>
      </c>
      <c r="G239" t="s">
        <v>1180</v>
      </c>
      <c r="H239" t="s">
        <v>1181</v>
      </c>
      <c r="I239" t="s">
        <v>1182</v>
      </c>
      <c r="J239" t="s">
        <v>63</v>
      </c>
      <c r="K239" s="3" t="b">
        <v>1</v>
      </c>
      <c r="L239" s="3" t="b">
        <v>0</v>
      </c>
      <c r="M239" s="3" t="b">
        <v>0</v>
      </c>
      <c r="N239" s="3" t="b">
        <v>0</v>
      </c>
      <c r="O239" s="3" t="b">
        <v>0</v>
      </c>
      <c r="P239" s="3" t="b">
        <v>0</v>
      </c>
      <c r="Q239" s="3" t="b">
        <v>0</v>
      </c>
      <c r="R239" s="3" t="b">
        <v>0</v>
      </c>
      <c r="S239" s="3" t="b">
        <v>0</v>
      </c>
      <c r="T239">
        <v>2966</v>
      </c>
      <c r="U239">
        <v>100900</v>
      </c>
      <c r="V239">
        <v>2</v>
      </c>
      <c r="W239">
        <v>8830</v>
      </c>
      <c r="X239">
        <v>8829</v>
      </c>
    </row>
    <row r="240" spans="1:24" x14ac:dyDescent="0.2">
      <c r="A240" t="s">
        <v>1183</v>
      </c>
      <c r="B240" t="s">
        <v>24</v>
      </c>
      <c r="C240" t="s">
        <v>1184</v>
      </c>
      <c r="D240" t="s">
        <v>1185</v>
      </c>
      <c r="F240" t="s">
        <v>1186</v>
      </c>
      <c r="G240" t="s">
        <v>1187</v>
      </c>
      <c r="H240" t="s">
        <v>1188</v>
      </c>
      <c r="I240" t="s">
        <v>1189</v>
      </c>
      <c r="J240" t="s">
        <v>1190</v>
      </c>
      <c r="K240" s="3" t="b">
        <v>1</v>
      </c>
      <c r="L240" s="3" t="b">
        <v>1</v>
      </c>
      <c r="M240" s="3" t="b">
        <v>0</v>
      </c>
      <c r="N240" s="3" t="b">
        <v>1</v>
      </c>
      <c r="O240" s="3" t="b">
        <v>1</v>
      </c>
      <c r="P240" s="3" t="b">
        <v>0</v>
      </c>
      <c r="Q240" s="3" t="b">
        <v>0</v>
      </c>
      <c r="R240" s="3" t="b">
        <v>0</v>
      </c>
      <c r="S240" s="3" t="b">
        <v>0</v>
      </c>
      <c r="T240">
        <v>4065</v>
      </c>
      <c r="U240">
        <v>221812</v>
      </c>
      <c r="V240">
        <v>1</v>
      </c>
      <c r="W240">
        <v>14794</v>
      </c>
      <c r="X240">
        <v>14793</v>
      </c>
    </row>
    <row r="241" spans="1:24" x14ac:dyDescent="0.2">
      <c r="A241" t="s">
        <v>1191</v>
      </c>
      <c r="B241" t="s">
        <v>24</v>
      </c>
      <c r="C241" t="s">
        <v>1192</v>
      </c>
      <c r="G241" t="s">
        <v>1193</v>
      </c>
      <c r="H241" t="s">
        <v>1194</v>
      </c>
      <c r="I241" t="s">
        <v>331</v>
      </c>
      <c r="J241" t="s">
        <v>29</v>
      </c>
      <c r="K241" s="3" t="b">
        <v>1</v>
      </c>
      <c r="L241" s="3" t="b">
        <v>1</v>
      </c>
      <c r="M241" s="3" t="b">
        <v>0</v>
      </c>
      <c r="N241" s="3" t="b">
        <v>1</v>
      </c>
      <c r="O241" s="3" t="b">
        <v>1</v>
      </c>
      <c r="P241" s="3" t="b">
        <v>0</v>
      </c>
      <c r="Q241" s="3" t="b">
        <v>0</v>
      </c>
      <c r="R241" s="3" t="b">
        <v>0</v>
      </c>
      <c r="S241" s="3" t="b">
        <v>0</v>
      </c>
      <c r="T241">
        <v>41</v>
      </c>
      <c r="U241">
        <v>2403</v>
      </c>
      <c r="V241">
        <v>1</v>
      </c>
      <c r="W241">
        <v>145</v>
      </c>
      <c r="X241">
        <v>144</v>
      </c>
    </row>
    <row r="242" spans="1:24" x14ac:dyDescent="0.2">
      <c r="A242" t="s">
        <v>1195</v>
      </c>
      <c r="B242" t="s">
        <v>58</v>
      </c>
      <c r="C242" t="s">
        <v>322</v>
      </c>
      <c r="G242" t="s">
        <v>1196</v>
      </c>
      <c r="H242" t="s">
        <v>1197</v>
      </c>
      <c r="I242" t="s">
        <v>1198</v>
      </c>
      <c r="J242" t="s">
        <v>1199</v>
      </c>
      <c r="K242" s="3" t="b">
        <v>1</v>
      </c>
      <c r="L242" s="3" t="b">
        <v>0</v>
      </c>
      <c r="M242" s="3" t="b">
        <v>0</v>
      </c>
      <c r="N242" s="3" t="b">
        <v>0</v>
      </c>
      <c r="O242" s="3" t="b">
        <v>0</v>
      </c>
      <c r="P242" s="3" t="b">
        <v>0</v>
      </c>
      <c r="Q242" s="3" t="b">
        <v>0</v>
      </c>
      <c r="R242" s="3" t="b">
        <v>0</v>
      </c>
      <c r="S242" s="3" t="b">
        <v>0</v>
      </c>
      <c r="T242">
        <v>3269</v>
      </c>
      <c r="U242">
        <v>109731</v>
      </c>
      <c r="V242">
        <v>3</v>
      </c>
      <c r="W242">
        <v>11164</v>
      </c>
      <c r="X242">
        <v>11161</v>
      </c>
    </row>
    <row r="243" spans="1:24" x14ac:dyDescent="0.2">
      <c r="A243" t="s">
        <v>1200</v>
      </c>
      <c r="B243" t="s">
        <v>24</v>
      </c>
      <c r="C243" t="s">
        <v>1201</v>
      </c>
      <c r="D243" t="s">
        <v>1202</v>
      </c>
      <c r="F243" t="s">
        <v>1203</v>
      </c>
      <c r="G243" t="s">
        <v>1204</v>
      </c>
      <c r="H243" t="s">
        <v>1205</v>
      </c>
      <c r="I243" t="s">
        <v>1206</v>
      </c>
      <c r="J243" t="s">
        <v>91</v>
      </c>
      <c r="K243" s="3" t="b">
        <v>1</v>
      </c>
      <c r="L243" s="3" t="b">
        <v>1</v>
      </c>
      <c r="M243" s="3" t="b">
        <v>0</v>
      </c>
      <c r="N243" s="3" t="b">
        <v>1</v>
      </c>
      <c r="O243" s="3" t="b">
        <v>1</v>
      </c>
      <c r="P243" s="3" t="b">
        <v>0</v>
      </c>
      <c r="Q243" s="3" t="b">
        <v>0</v>
      </c>
      <c r="R243" s="3" t="b">
        <v>0</v>
      </c>
      <c r="S243" s="3" t="b">
        <v>0</v>
      </c>
      <c r="T243">
        <v>2432</v>
      </c>
      <c r="U243">
        <v>86906</v>
      </c>
      <c r="V243">
        <v>1</v>
      </c>
      <c r="W243">
        <v>7439</v>
      </c>
      <c r="X243">
        <v>7438</v>
      </c>
    </row>
    <row r="244" spans="1:24" x14ac:dyDescent="0.2">
      <c r="A244" t="s">
        <v>1207</v>
      </c>
      <c r="B244" t="s">
        <v>24</v>
      </c>
      <c r="C244" t="s">
        <v>1208</v>
      </c>
      <c r="G244" t="s">
        <v>749</v>
      </c>
      <c r="H244" t="s">
        <v>750</v>
      </c>
      <c r="I244" t="s">
        <v>79</v>
      </c>
      <c r="J244" t="s">
        <v>29</v>
      </c>
      <c r="K244" s="3" t="b">
        <v>1</v>
      </c>
      <c r="L244" s="3" t="b">
        <v>1</v>
      </c>
      <c r="M244" s="3" t="b">
        <v>0</v>
      </c>
      <c r="N244" s="3" t="b">
        <v>1</v>
      </c>
      <c r="O244" s="3" t="b">
        <v>0</v>
      </c>
      <c r="P244" s="3" t="b">
        <v>0</v>
      </c>
      <c r="Q244" s="3" t="b">
        <v>0</v>
      </c>
      <c r="R244" s="3" t="b">
        <v>0</v>
      </c>
      <c r="S244" s="3" t="b">
        <v>0</v>
      </c>
      <c r="T244">
        <v>2932</v>
      </c>
      <c r="U244">
        <v>99225</v>
      </c>
      <c r="V244">
        <v>1</v>
      </c>
      <c r="W244">
        <v>8625</v>
      </c>
      <c r="X244">
        <v>8624</v>
      </c>
    </row>
    <row r="245" spans="1:24" x14ac:dyDescent="0.2">
      <c r="A245" t="s">
        <v>1209</v>
      </c>
      <c r="B245" t="s">
        <v>31</v>
      </c>
      <c r="C245" t="s">
        <v>1210</v>
      </c>
      <c r="G245" t="s">
        <v>1211</v>
      </c>
      <c r="H245" t="s">
        <v>1212</v>
      </c>
      <c r="I245" t="s">
        <v>1213</v>
      </c>
      <c r="J245" t="s">
        <v>29</v>
      </c>
      <c r="K245" s="3" t="b">
        <v>1</v>
      </c>
      <c r="L245" s="3" t="b">
        <v>1</v>
      </c>
      <c r="M245" s="3" t="b">
        <v>0</v>
      </c>
      <c r="N245" s="3" t="b">
        <v>1</v>
      </c>
      <c r="O245" s="3" t="b">
        <v>1</v>
      </c>
      <c r="P245" s="3" t="b">
        <v>0</v>
      </c>
      <c r="Q245" s="3" t="b">
        <v>0</v>
      </c>
      <c r="R245" s="3" t="b">
        <v>0</v>
      </c>
      <c r="S245" s="3" t="b">
        <v>0</v>
      </c>
      <c r="T245">
        <v>4179</v>
      </c>
      <c r="U245">
        <v>230753</v>
      </c>
      <c r="V245">
        <v>1</v>
      </c>
      <c r="W245">
        <v>14980</v>
      </c>
      <c r="X245">
        <v>14979</v>
      </c>
    </row>
    <row r="246" spans="1:24" x14ac:dyDescent="0.2">
      <c r="A246" t="s">
        <v>1214</v>
      </c>
      <c r="B246" t="s">
        <v>31</v>
      </c>
      <c r="C246" t="s">
        <v>967</v>
      </c>
      <c r="G246" t="s">
        <v>1215</v>
      </c>
      <c r="H246" t="s">
        <v>1216</v>
      </c>
      <c r="I246" t="s">
        <v>1217</v>
      </c>
      <c r="J246" t="s">
        <v>1218</v>
      </c>
      <c r="K246" s="3" t="b">
        <v>1</v>
      </c>
      <c r="L246" s="3" t="b">
        <v>0</v>
      </c>
      <c r="M246" s="3" t="b">
        <v>0</v>
      </c>
      <c r="N246" s="3" t="b">
        <v>0</v>
      </c>
      <c r="O246" s="3" t="b">
        <v>0</v>
      </c>
      <c r="P246" s="3" t="b">
        <v>0</v>
      </c>
      <c r="Q246" s="3" t="b">
        <v>0</v>
      </c>
      <c r="R246" s="3" t="b">
        <v>0</v>
      </c>
      <c r="S246" s="3" t="b">
        <v>0</v>
      </c>
      <c r="T246">
        <v>281</v>
      </c>
      <c r="U246">
        <v>13815</v>
      </c>
      <c r="V246">
        <v>1</v>
      </c>
      <c r="W246">
        <v>994</v>
      </c>
      <c r="X246">
        <v>993</v>
      </c>
    </row>
    <row r="247" spans="1:24" x14ac:dyDescent="0.2">
      <c r="A247" t="s">
        <v>1219</v>
      </c>
      <c r="B247" t="s">
        <v>51</v>
      </c>
      <c r="C247" t="s">
        <v>957</v>
      </c>
      <c r="E247" t="s">
        <v>958</v>
      </c>
      <c r="G247" t="s">
        <v>1220</v>
      </c>
      <c r="H247" t="s">
        <v>1221</v>
      </c>
      <c r="I247" t="s">
        <v>244</v>
      </c>
      <c r="J247" t="s">
        <v>29</v>
      </c>
      <c r="K247" s="3" t="b">
        <v>1</v>
      </c>
      <c r="L247" s="3" t="b">
        <v>1</v>
      </c>
      <c r="M247" s="3" t="b">
        <v>0</v>
      </c>
      <c r="N247" s="3" t="b">
        <v>1</v>
      </c>
      <c r="O247" s="3" t="b">
        <v>0</v>
      </c>
      <c r="P247" s="3" t="b">
        <v>0</v>
      </c>
      <c r="Q247" s="3" t="b">
        <v>0</v>
      </c>
      <c r="R247" s="3" t="b">
        <v>0</v>
      </c>
      <c r="S247" s="3" t="b">
        <v>1</v>
      </c>
      <c r="T247">
        <v>4027</v>
      </c>
      <c r="U247">
        <v>212418</v>
      </c>
      <c r="V247">
        <v>1</v>
      </c>
      <c r="W247">
        <v>14520</v>
      </c>
      <c r="X247">
        <v>14519</v>
      </c>
    </row>
    <row r="248" spans="1:24" x14ac:dyDescent="0.2">
      <c r="A248" t="s">
        <v>1222</v>
      </c>
      <c r="B248" t="s">
        <v>58</v>
      </c>
      <c r="C248" t="s">
        <v>1223</v>
      </c>
      <c r="D248" t="s">
        <v>337</v>
      </c>
      <c r="G248" t="s">
        <v>713</v>
      </c>
      <c r="H248" t="s">
        <v>714</v>
      </c>
      <c r="I248" t="s">
        <v>715</v>
      </c>
      <c r="J248" t="s">
        <v>91</v>
      </c>
      <c r="K248" s="3" t="b">
        <v>1</v>
      </c>
      <c r="L248" s="3" t="b">
        <v>1</v>
      </c>
      <c r="M248" s="3" t="b">
        <v>0</v>
      </c>
      <c r="N248" s="3" t="b">
        <v>1</v>
      </c>
      <c r="O248" s="3" t="b">
        <v>1</v>
      </c>
      <c r="P248" s="3" t="b">
        <v>0</v>
      </c>
      <c r="Q248" s="3" t="b">
        <v>0</v>
      </c>
      <c r="R248" s="3" t="b">
        <v>0</v>
      </c>
      <c r="S248" s="3" t="b">
        <v>0</v>
      </c>
      <c r="T248">
        <v>2866</v>
      </c>
      <c r="U248">
        <v>97877</v>
      </c>
      <c r="V248">
        <v>1</v>
      </c>
      <c r="W248">
        <v>8512</v>
      </c>
      <c r="X248">
        <v>8511</v>
      </c>
    </row>
    <row r="249" spans="1:24" x14ac:dyDescent="0.2">
      <c r="A249" t="s">
        <v>1224</v>
      </c>
      <c r="B249" t="s">
        <v>51</v>
      </c>
      <c r="C249" t="s">
        <v>52</v>
      </c>
      <c r="D249" t="s">
        <v>1225</v>
      </c>
      <c r="E249" t="s">
        <v>53</v>
      </c>
      <c r="G249" t="s">
        <v>1226</v>
      </c>
      <c r="H249" t="s">
        <v>1227</v>
      </c>
      <c r="I249" t="s">
        <v>1228</v>
      </c>
      <c r="J249" t="s">
        <v>91</v>
      </c>
      <c r="K249" s="3" t="b">
        <v>1</v>
      </c>
      <c r="L249" s="3" t="b">
        <v>0</v>
      </c>
      <c r="M249" s="3" t="b">
        <v>0</v>
      </c>
      <c r="N249" s="3" t="b">
        <v>0</v>
      </c>
      <c r="O249" s="3" t="b">
        <v>0</v>
      </c>
      <c r="P249" s="3" t="b">
        <v>0</v>
      </c>
      <c r="Q249" s="3" t="b">
        <v>0</v>
      </c>
      <c r="R249" s="3" t="b">
        <v>0</v>
      </c>
      <c r="S249" s="3" t="b">
        <v>0</v>
      </c>
      <c r="T249">
        <v>3679</v>
      </c>
      <c r="U249">
        <v>157024</v>
      </c>
      <c r="V249">
        <v>1</v>
      </c>
      <c r="W249">
        <v>13254</v>
      </c>
      <c r="X249">
        <v>13253</v>
      </c>
    </row>
    <row r="250" spans="1:24" x14ac:dyDescent="0.2">
      <c r="A250" t="s">
        <v>1229</v>
      </c>
      <c r="B250" t="s">
        <v>51</v>
      </c>
      <c r="C250" t="s">
        <v>1230</v>
      </c>
      <c r="E250" t="s">
        <v>400</v>
      </c>
      <c r="G250" t="s">
        <v>1231</v>
      </c>
      <c r="H250" t="s">
        <v>1232</v>
      </c>
      <c r="I250" t="s">
        <v>1233</v>
      </c>
      <c r="J250" t="s">
        <v>1234</v>
      </c>
      <c r="K250" s="3" t="b">
        <v>1</v>
      </c>
      <c r="L250" s="3" t="b">
        <v>1</v>
      </c>
      <c r="M250" s="3" t="b">
        <v>0</v>
      </c>
      <c r="N250" s="3" t="b">
        <v>1</v>
      </c>
      <c r="O250" s="3" t="b">
        <v>1</v>
      </c>
      <c r="P250" s="3" t="b">
        <v>0</v>
      </c>
      <c r="Q250" s="3" t="b">
        <v>0</v>
      </c>
      <c r="R250" s="3" t="b">
        <v>0</v>
      </c>
      <c r="S250" s="3" t="b">
        <v>0</v>
      </c>
      <c r="T250">
        <v>297</v>
      </c>
      <c r="U250">
        <v>13815</v>
      </c>
      <c r="V250">
        <v>6</v>
      </c>
      <c r="W250">
        <v>983</v>
      </c>
      <c r="X250">
        <v>982</v>
      </c>
    </row>
    <row r="251" spans="1:24" x14ac:dyDescent="0.2">
      <c r="A251" t="s">
        <v>1235</v>
      </c>
      <c r="B251" t="s">
        <v>51</v>
      </c>
      <c r="C251" t="s">
        <v>1236</v>
      </c>
      <c r="E251" t="s">
        <v>1237</v>
      </c>
      <c r="G251" t="s">
        <v>1238</v>
      </c>
      <c r="H251" t="s">
        <v>1239</v>
      </c>
      <c r="I251" t="s">
        <v>1240</v>
      </c>
      <c r="J251" t="s">
        <v>29</v>
      </c>
      <c r="K251" s="3" t="b">
        <v>1</v>
      </c>
      <c r="L251" s="3" t="b">
        <v>1</v>
      </c>
      <c r="M251" s="3" t="b">
        <v>1</v>
      </c>
      <c r="N251" s="3" t="b">
        <v>1</v>
      </c>
      <c r="O251" s="3" t="b">
        <v>1</v>
      </c>
      <c r="P251" s="3" t="b">
        <v>0</v>
      </c>
      <c r="Q251" s="3" t="b">
        <v>0</v>
      </c>
      <c r="R251" s="3" t="b">
        <v>0</v>
      </c>
      <c r="S251" s="3" t="b">
        <v>0</v>
      </c>
      <c r="T251">
        <v>869</v>
      </c>
      <c r="U251">
        <v>29747</v>
      </c>
      <c r="V251">
        <v>1</v>
      </c>
      <c r="W251">
        <v>2552</v>
      </c>
      <c r="X251">
        <v>2551</v>
      </c>
    </row>
    <row r="252" spans="1:24" x14ac:dyDescent="0.2">
      <c r="A252" t="s">
        <v>1241</v>
      </c>
      <c r="B252" t="s">
        <v>31</v>
      </c>
      <c r="C252" t="s">
        <v>1242</v>
      </c>
      <c r="G252" t="s">
        <v>636</v>
      </c>
      <c r="H252" t="s">
        <v>637</v>
      </c>
      <c r="I252" t="s">
        <v>638</v>
      </c>
      <c r="J252" t="s">
        <v>91</v>
      </c>
      <c r="K252" s="3" t="b">
        <v>1</v>
      </c>
      <c r="L252" s="3" t="b">
        <v>1</v>
      </c>
      <c r="M252" s="3" t="b">
        <v>0</v>
      </c>
      <c r="N252" s="3" t="b">
        <v>1</v>
      </c>
      <c r="O252" s="3" t="b">
        <v>0</v>
      </c>
      <c r="P252" s="3" t="b">
        <v>0</v>
      </c>
      <c r="Q252" s="3" t="b">
        <v>0</v>
      </c>
      <c r="R252" s="3" t="b">
        <v>0</v>
      </c>
      <c r="S252" s="3" t="b">
        <v>0</v>
      </c>
      <c r="T252">
        <v>4176</v>
      </c>
      <c r="U252">
        <v>230308</v>
      </c>
      <c r="V252">
        <v>1</v>
      </c>
      <c r="W252">
        <v>14969</v>
      </c>
      <c r="X252">
        <v>14968</v>
      </c>
    </row>
    <row r="253" spans="1:24" x14ac:dyDescent="0.2">
      <c r="A253" t="s">
        <v>1243</v>
      </c>
      <c r="B253" t="s">
        <v>24</v>
      </c>
      <c r="C253" t="s">
        <v>1136</v>
      </c>
      <c r="D253" t="s">
        <v>1244</v>
      </c>
      <c r="F253" t="s">
        <v>1245</v>
      </c>
      <c r="G253" t="s">
        <v>1246</v>
      </c>
      <c r="H253" t="s">
        <v>1247</v>
      </c>
      <c r="I253" t="s">
        <v>84</v>
      </c>
      <c r="J253" t="s">
        <v>1248</v>
      </c>
      <c r="K253" s="3" t="b">
        <v>1</v>
      </c>
      <c r="L253" s="3" t="b">
        <v>1</v>
      </c>
      <c r="M253" s="3" t="b">
        <v>0</v>
      </c>
      <c r="N253" s="3" t="b">
        <v>1</v>
      </c>
      <c r="O253" s="3" t="b">
        <v>0</v>
      </c>
      <c r="P253" s="3" t="b">
        <v>0</v>
      </c>
      <c r="Q253" s="3" t="b">
        <v>0</v>
      </c>
      <c r="R253" s="3" t="b">
        <v>0</v>
      </c>
      <c r="S253" s="3" t="b">
        <v>0</v>
      </c>
      <c r="T253">
        <v>2994</v>
      </c>
      <c r="U253">
        <v>100900</v>
      </c>
      <c r="V253">
        <v>2</v>
      </c>
      <c r="W253">
        <v>8798</v>
      </c>
      <c r="X253">
        <v>8779</v>
      </c>
    </row>
    <row r="254" spans="1:24" x14ac:dyDescent="0.2">
      <c r="A254" t="s">
        <v>1249</v>
      </c>
      <c r="B254" t="s">
        <v>51</v>
      </c>
      <c r="C254" t="s">
        <v>1250</v>
      </c>
      <c r="D254" t="s">
        <v>1251</v>
      </c>
      <c r="E254" t="s">
        <v>1252</v>
      </c>
      <c r="G254" t="s">
        <v>1253</v>
      </c>
      <c r="H254" t="s">
        <v>1254</v>
      </c>
      <c r="I254" t="s">
        <v>1255</v>
      </c>
      <c r="J254" t="s">
        <v>91</v>
      </c>
      <c r="K254" s="3" t="b">
        <v>1</v>
      </c>
      <c r="L254" s="3" t="b">
        <v>1</v>
      </c>
      <c r="M254" s="3" t="b">
        <v>0</v>
      </c>
      <c r="N254" s="3" t="b">
        <v>1</v>
      </c>
      <c r="O254" s="3" t="b">
        <v>0</v>
      </c>
      <c r="P254" s="3" t="b">
        <v>0</v>
      </c>
      <c r="Q254" s="3" t="b">
        <v>0</v>
      </c>
      <c r="R254" s="3" t="b">
        <v>0</v>
      </c>
      <c r="S254" s="3" t="b">
        <v>0</v>
      </c>
      <c r="T254">
        <v>734</v>
      </c>
      <c r="U254">
        <v>23507</v>
      </c>
      <c r="V254">
        <v>1</v>
      </c>
      <c r="W254">
        <v>2150</v>
      </c>
      <c r="X254">
        <v>2149</v>
      </c>
    </row>
    <row r="255" spans="1:24" x14ac:dyDescent="0.2">
      <c r="A255" t="s">
        <v>1256</v>
      </c>
      <c r="B255" t="s">
        <v>24</v>
      </c>
      <c r="C255" t="s">
        <v>995</v>
      </c>
      <c r="D255" t="s">
        <v>1257</v>
      </c>
      <c r="F255" t="s">
        <v>1258</v>
      </c>
      <c r="G255" t="s">
        <v>1259</v>
      </c>
      <c r="H255" t="s">
        <v>1260</v>
      </c>
      <c r="I255" t="s">
        <v>131</v>
      </c>
      <c r="J255" t="s">
        <v>91</v>
      </c>
      <c r="K255" s="3" t="b">
        <v>1</v>
      </c>
      <c r="L255" s="3" t="b">
        <v>1</v>
      </c>
      <c r="M255" s="3" t="b">
        <v>1</v>
      </c>
      <c r="N255" s="3" t="b">
        <v>1</v>
      </c>
      <c r="O255" s="3" t="b">
        <v>1</v>
      </c>
      <c r="P255" s="3" t="b">
        <v>0</v>
      </c>
      <c r="Q255" s="3" t="b">
        <v>0</v>
      </c>
      <c r="R255" s="3" t="b">
        <v>0</v>
      </c>
      <c r="S255" s="3" t="b">
        <v>1</v>
      </c>
      <c r="T255">
        <v>931</v>
      </c>
      <c r="U255">
        <v>34392</v>
      </c>
      <c r="V255">
        <v>1</v>
      </c>
      <c r="W255">
        <v>2655</v>
      </c>
      <c r="X255">
        <v>2654</v>
      </c>
    </row>
    <row r="256" spans="1:24" x14ac:dyDescent="0.2">
      <c r="A256" t="s">
        <v>1261</v>
      </c>
      <c r="B256" t="s">
        <v>24</v>
      </c>
      <c r="C256" t="s">
        <v>1262</v>
      </c>
      <c r="G256" t="s">
        <v>72</v>
      </c>
      <c r="H256" t="s">
        <v>73</v>
      </c>
      <c r="I256" t="s">
        <v>74</v>
      </c>
      <c r="J256" t="s">
        <v>29</v>
      </c>
      <c r="K256" s="3" t="b">
        <v>1</v>
      </c>
      <c r="L256" s="3" t="b">
        <v>1</v>
      </c>
      <c r="M256" s="3" t="b">
        <v>1</v>
      </c>
      <c r="N256" s="3" t="b">
        <v>1</v>
      </c>
      <c r="O256" s="3" t="b">
        <v>0</v>
      </c>
      <c r="P256" s="3" t="b">
        <v>0</v>
      </c>
      <c r="Q256" s="3" t="b">
        <v>0</v>
      </c>
      <c r="R256" s="3" t="b">
        <v>0</v>
      </c>
      <c r="S256" s="3" t="b">
        <v>0</v>
      </c>
      <c r="T256">
        <v>870</v>
      </c>
      <c r="U256">
        <v>29747</v>
      </c>
      <c r="V256">
        <v>1</v>
      </c>
      <c r="W256">
        <v>2551</v>
      </c>
      <c r="X256">
        <v>2550</v>
      </c>
    </row>
    <row r="257" spans="1:24" x14ac:dyDescent="0.2">
      <c r="A257" t="s">
        <v>1263</v>
      </c>
      <c r="B257" t="s">
        <v>31</v>
      </c>
      <c r="C257" t="s">
        <v>1264</v>
      </c>
      <c r="D257" t="s">
        <v>1265</v>
      </c>
      <c r="G257" t="s">
        <v>1266</v>
      </c>
      <c r="H257" t="s">
        <v>1267</v>
      </c>
      <c r="I257" t="s">
        <v>1268</v>
      </c>
      <c r="J257" t="s">
        <v>91</v>
      </c>
      <c r="K257" s="3" t="b">
        <v>1</v>
      </c>
      <c r="L257" s="3" t="b">
        <v>0</v>
      </c>
      <c r="M257" s="3" t="b">
        <v>0</v>
      </c>
      <c r="N257" s="3" t="b">
        <v>0</v>
      </c>
      <c r="O257" s="3" t="b">
        <v>0</v>
      </c>
      <c r="P257" s="3" t="b">
        <v>0</v>
      </c>
      <c r="Q257" s="3" t="b">
        <v>0</v>
      </c>
      <c r="R257" s="3" t="b">
        <v>0</v>
      </c>
      <c r="S257" s="3" t="b">
        <v>0</v>
      </c>
      <c r="T257">
        <v>1150</v>
      </c>
      <c r="U257">
        <v>41330</v>
      </c>
      <c r="V257">
        <v>1</v>
      </c>
      <c r="W257">
        <v>3090</v>
      </c>
      <c r="X257">
        <v>3089</v>
      </c>
    </row>
    <row r="258" spans="1:24" x14ac:dyDescent="0.2">
      <c r="A258" t="s">
        <v>1269</v>
      </c>
      <c r="B258" t="s">
        <v>58</v>
      </c>
      <c r="C258" t="s">
        <v>1270</v>
      </c>
      <c r="G258" t="s">
        <v>1271</v>
      </c>
      <c r="H258" t="s">
        <v>1272</v>
      </c>
      <c r="I258" t="s">
        <v>1273</v>
      </c>
      <c r="J258" t="s">
        <v>29</v>
      </c>
      <c r="K258" s="3" t="b">
        <v>1</v>
      </c>
      <c r="L258" s="3" t="b">
        <v>1</v>
      </c>
      <c r="M258" s="3" t="b">
        <v>0</v>
      </c>
      <c r="N258" s="3" t="b">
        <v>1</v>
      </c>
      <c r="O258" s="3" t="b">
        <v>1</v>
      </c>
      <c r="P258" s="3" t="b">
        <v>0</v>
      </c>
      <c r="Q258" s="3" t="b">
        <v>0</v>
      </c>
      <c r="R258" s="3" t="b">
        <v>0</v>
      </c>
      <c r="S258" s="3" t="b">
        <v>0</v>
      </c>
      <c r="T258">
        <v>36</v>
      </c>
      <c r="U258">
        <v>2403</v>
      </c>
      <c r="V258">
        <v>1</v>
      </c>
      <c r="W258">
        <v>150</v>
      </c>
      <c r="X258">
        <v>149</v>
      </c>
    </row>
    <row r="259" spans="1:24" x14ac:dyDescent="0.2">
      <c r="A259" t="s">
        <v>1274</v>
      </c>
      <c r="B259" t="s">
        <v>24</v>
      </c>
      <c r="C259" t="s">
        <v>1275</v>
      </c>
      <c r="G259" t="s">
        <v>1276</v>
      </c>
      <c r="H259" t="s">
        <v>1277</v>
      </c>
      <c r="I259" t="s">
        <v>1278</v>
      </c>
      <c r="J259" t="s">
        <v>29</v>
      </c>
      <c r="K259" s="3" t="b">
        <v>1</v>
      </c>
      <c r="L259" s="3" t="b">
        <v>1</v>
      </c>
      <c r="M259" s="3" t="b">
        <v>0</v>
      </c>
      <c r="N259" s="3" t="b">
        <v>1</v>
      </c>
      <c r="O259" s="3" t="b">
        <v>0</v>
      </c>
      <c r="P259" s="3" t="b">
        <v>0</v>
      </c>
      <c r="Q259" s="3" t="b">
        <v>0</v>
      </c>
      <c r="R259" s="3" t="b">
        <v>0</v>
      </c>
      <c r="S259" s="3" t="b">
        <v>0</v>
      </c>
      <c r="T259">
        <v>1165</v>
      </c>
      <c r="U259">
        <v>44148</v>
      </c>
      <c r="V259">
        <v>1</v>
      </c>
      <c r="W259">
        <v>3273</v>
      </c>
      <c r="X259">
        <v>3270</v>
      </c>
    </row>
    <row r="260" spans="1:24" x14ac:dyDescent="0.2">
      <c r="A260" t="s">
        <v>1279</v>
      </c>
      <c r="B260" t="s">
        <v>24</v>
      </c>
      <c r="C260" t="s">
        <v>1280</v>
      </c>
      <c r="G260" t="s">
        <v>1281</v>
      </c>
      <c r="H260" t="s">
        <v>1282</v>
      </c>
      <c r="I260" t="s">
        <v>1283</v>
      </c>
      <c r="J260" t="s">
        <v>949</v>
      </c>
      <c r="K260" s="3" t="b">
        <v>1</v>
      </c>
      <c r="L260" s="3" t="b">
        <v>0</v>
      </c>
      <c r="M260" s="3" t="b">
        <v>0</v>
      </c>
      <c r="N260" s="3" t="b">
        <v>0</v>
      </c>
      <c r="O260" s="3" t="b">
        <v>0</v>
      </c>
      <c r="P260" s="3" t="b">
        <v>0</v>
      </c>
      <c r="Q260" s="3" t="b">
        <v>0</v>
      </c>
      <c r="R260" s="3" t="b">
        <v>0</v>
      </c>
      <c r="S260" s="3" t="b">
        <v>0</v>
      </c>
      <c r="T260">
        <v>4003</v>
      </c>
      <c r="U260">
        <v>211152</v>
      </c>
      <c r="V260">
        <v>1</v>
      </c>
      <c r="W260">
        <v>14480</v>
      </c>
      <c r="X260">
        <v>14479</v>
      </c>
    </row>
    <row r="261" spans="1:24" x14ac:dyDescent="0.2">
      <c r="A261" t="s">
        <v>1284</v>
      </c>
      <c r="B261" t="s">
        <v>58</v>
      </c>
      <c r="C261" t="s">
        <v>322</v>
      </c>
      <c r="G261" t="s">
        <v>60</v>
      </c>
      <c r="H261" t="s">
        <v>61</v>
      </c>
      <c r="I261" t="s">
        <v>62</v>
      </c>
      <c r="J261" t="s">
        <v>63</v>
      </c>
      <c r="K261" s="3" t="b">
        <v>1</v>
      </c>
      <c r="L261" s="3" t="b">
        <v>1</v>
      </c>
      <c r="M261" s="3" t="b">
        <v>0</v>
      </c>
      <c r="N261" s="3" t="b">
        <v>1</v>
      </c>
      <c r="O261" s="3" t="b">
        <v>1</v>
      </c>
      <c r="P261" s="3" t="b">
        <v>0</v>
      </c>
      <c r="Q261" s="3" t="b">
        <v>0</v>
      </c>
      <c r="R261" s="3" t="b">
        <v>0</v>
      </c>
      <c r="S261" s="3" t="b">
        <v>0</v>
      </c>
      <c r="T261">
        <v>2961</v>
      </c>
      <c r="U261">
        <v>100900</v>
      </c>
      <c r="V261">
        <v>2</v>
      </c>
      <c r="W261">
        <v>8835</v>
      </c>
      <c r="X261">
        <v>8834</v>
      </c>
    </row>
    <row r="262" spans="1:24" x14ac:dyDescent="0.2">
      <c r="A262" t="s">
        <v>1285</v>
      </c>
      <c r="B262" t="s">
        <v>58</v>
      </c>
      <c r="C262" t="s">
        <v>1286</v>
      </c>
      <c r="G262" t="s">
        <v>1287</v>
      </c>
      <c r="H262" t="s">
        <v>1288</v>
      </c>
      <c r="I262" t="s">
        <v>1289</v>
      </c>
      <c r="J262" t="s">
        <v>1290</v>
      </c>
      <c r="K262" s="3" t="b">
        <v>1</v>
      </c>
      <c r="L262" s="3" t="b">
        <v>0</v>
      </c>
      <c r="M262" s="3" t="b">
        <v>0</v>
      </c>
      <c r="N262" s="3" t="b">
        <v>0</v>
      </c>
      <c r="O262" s="3" t="b">
        <v>0</v>
      </c>
      <c r="P262" s="3" t="b">
        <v>0</v>
      </c>
      <c r="Q262" s="3" t="b">
        <v>0</v>
      </c>
      <c r="R262" s="3" t="b">
        <v>0</v>
      </c>
      <c r="S262" s="3" t="b">
        <v>0</v>
      </c>
      <c r="T262">
        <v>3571</v>
      </c>
      <c r="U262">
        <v>142988</v>
      </c>
      <c r="V262">
        <v>1</v>
      </c>
      <c r="W262">
        <v>12726</v>
      </c>
      <c r="X262">
        <v>12725</v>
      </c>
    </row>
    <row r="263" spans="1:24" x14ac:dyDescent="0.2">
      <c r="A263" t="s">
        <v>1291</v>
      </c>
      <c r="B263" t="s">
        <v>24</v>
      </c>
      <c r="C263" t="s">
        <v>1292</v>
      </c>
      <c r="G263" t="s">
        <v>1293</v>
      </c>
      <c r="H263" t="s">
        <v>1294</v>
      </c>
      <c r="I263" t="s">
        <v>1295</v>
      </c>
      <c r="J263" t="s">
        <v>29</v>
      </c>
      <c r="K263" s="3" t="b">
        <v>1</v>
      </c>
      <c r="L263" s="3" t="b">
        <v>0</v>
      </c>
      <c r="M263" s="3" t="b">
        <v>0</v>
      </c>
      <c r="N263" s="3" t="b">
        <v>0</v>
      </c>
      <c r="O263" s="3" t="b">
        <v>0</v>
      </c>
      <c r="P263" s="3" t="b">
        <v>0</v>
      </c>
      <c r="Q263" s="3" t="b">
        <v>0</v>
      </c>
      <c r="R263" s="3" t="b">
        <v>0</v>
      </c>
      <c r="S263" s="3" t="b">
        <v>0</v>
      </c>
      <c r="T263">
        <v>228</v>
      </c>
      <c r="U263">
        <v>10853</v>
      </c>
      <c r="V263">
        <v>1</v>
      </c>
      <c r="W263">
        <v>843</v>
      </c>
      <c r="X263">
        <v>842</v>
      </c>
    </row>
    <row r="264" spans="1:24" x14ac:dyDescent="0.2">
      <c r="A264" t="s">
        <v>1296</v>
      </c>
      <c r="B264" t="s">
        <v>31</v>
      </c>
      <c r="C264" t="s">
        <v>336</v>
      </c>
      <c r="G264" t="s">
        <v>1297</v>
      </c>
      <c r="H264" t="s">
        <v>1298</v>
      </c>
      <c r="I264" t="s">
        <v>1299</v>
      </c>
      <c r="J264" t="s">
        <v>29</v>
      </c>
      <c r="K264" s="3" t="b">
        <v>1</v>
      </c>
      <c r="L264" s="3" t="b">
        <v>1</v>
      </c>
      <c r="M264" s="3" t="b">
        <v>0</v>
      </c>
      <c r="N264" s="3" t="b">
        <v>1</v>
      </c>
      <c r="O264" s="3" t="b">
        <v>0</v>
      </c>
      <c r="P264" s="3" t="b">
        <v>0</v>
      </c>
      <c r="Q264" s="3" t="b">
        <v>0</v>
      </c>
      <c r="R264" s="3" t="b">
        <v>0</v>
      </c>
      <c r="S264" s="3" t="b">
        <v>0</v>
      </c>
      <c r="T264">
        <v>866</v>
      </c>
      <c r="U264">
        <v>29556</v>
      </c>
      <c r="V264">
        <v>1</v>
      </c>
      <c r="W264">
        <v>2546</v>
      </c>
      <c r="X264">
        <v>2545</v>
      </c>
    </row>
    <row r="265" spans="1:24" x14ac:dyDescent="0.2">
      <c r="A265" t="s">
        <v>1300</v>
      </c>
      <c r="B265" t="s">
        <v>31</v>
      </c>
      <c r="C265" t="s">
        <v>388</v>
      </c>
      <c r="G265" t="s">
        <v>1301</v>
      </c>
      <c r="H265" t="s">
        <v>1302</v>
      </c>
      <c r="I265" t="s">
        <v>1303</v>
      </c>
      <c r="J265" t="s">
        <v>1304</v>
      </c>
      <c r="K265" s="3" t="b">
        <v>1</v>
      </c>
      <c r="L265" s="3" t="b">
        <v>0</v>
      </c>
      <c r="M265" s="3" t="b">
        <v>0</v>
      </c>
      <c r="N265" s="3" t="b">
        <v>0</v>
      </c>
      <c r="O265" s="3" t="b">
        <v>0</v>
      </c>
      <c r="P265" s="3" t="b">
        <v>0</v>
      </c>
      <c r="Q265" s="3" t="b">
        <v>0</v>
      </c>
      <c r="R265" s="3" t="b">
        <v>0</v>
      </c>
      <c r="S265" s="3" t="b">
        <v>0</v>
      </c>
      <c r="T265">
        <v>4035</v>
      </c>
      <c r="U265">
        <v>216901</v>
      </c>
      <c r="V265">
        <v>1</v>
      </c>
      <c r="W265">
        <v>14577</v>
      </c>
      <c r="X265">
        <v>14576</v>
      </c>
    </row>
    <row r="266" spans="1:24" x14ac:dyDescent="0.2">
      <c r="A266" t="s">
        <v>1305</v>
      </c>
      <c r="B266" t="s">
        <v>58</v>
      </c>
      <c r="C266" t="s">
        <v>1306</v>
      </c>
      <c r="G266" t="s">
        <v>1307</v>
      </c>
      <c r="H266" t="s">
        <v>1308</v>
      </c>
      <c r="I266" t="s">
        <v>1309</v>
      </c>
      <c r="J266" t="s">
        <v>29</v>
      </c>
      <c r="K266" s="3" t="b">
        <v>1</v>
      </c>
      <c r="L266" s="3" t="b">
        <v>0</v>
      </c>
      <c r="M266" s="3" t="b">
        <v>0</v>
      </c>
      <c r="N266" s="3" t="b">
        <v>0</v>
      </c>
      <c r="O266" s="3" t="b">
        <v>0</v>
      </c>
      <c r="P266" s="3" t="b">
        <v>0</v>
      </c>
      <c r="Q266" s="3" t="b">
        <v>0</v>
      </c>
      <c r="R266" s="3" t="b">
        <v>0</v>
      </c>
      <c r="S266" s="3" t="b">
        <v>0</v>
      </c>
      <c r="T266">
        <v>305</v>
      </c>
      <c r="U266">
        <v>13908</v>
      </c>
      <c r="V266">
        <v>1</v>
      </c>
      <c r="W266">
        <v>1022</v>
      </c>
      <c r="X266">
        <v>1021</v>
      </c>
    </row>
    <row r="267" spans="1:24" x14ac:dyDescent="0.2">
      <c r="A267" t="s">
        <v>1310</v>
      </c>
      <c r="B267" t="s">
        <v>51</v>
      </c>
      <c r="C267" t="s">
        <v>922</v>
      </c>
      <c r="E267" t="s">
        <v>923</v>
      </c>
      <c r="G267" t="s">
        <v>1311</v>
      </c>
      <c r="H267" t="s">
        <v>1312</v>
      </c>
      <c r="I267" t="s">
        <v>926</v>
      </c>
      <c r="J267" t="s">
        <v>29</v>
      </c>
      <c r="K267" s="3" t="b">
        <v>1</v>
      </c>
      <c r="L267" s="3" t="b">
        <v>1</v>
      </c>
      <c r="M267" s="3" t="b">
        <v>0</v>
      </c>
      <c r="N267" s="3" t="b">
        <v>1</v>
      </c>
      <c r="O267" s="3" t="b">
        <v>0</v>
      </c>
      <c r="P267" s="3" t="b">
        <v>0</v>
      </c>
      <c r="Q267" s="3" t="b">
        <v>0</v>
      </c>
      <c r="R267" s="3" t="b">
        <v>0</v>
      </c>
      <c r="S267" s="3" t="b">
        <v>0</v>
      </c>
      <c r="T267">
        <v>3368</v>
      </c>
      <c r="U267">
        <v>115208</v>
      </c>
      <c r="V267">
        <v>1</v>
      </c>
      <c r="W267">
        <v>11910</v>
      </c>
      <c r="X267">
        <v>11909</v>
      </c>
    </row>
    <row r="268" spans="1:24" x14ac:dyDescent="0.2">
      <c r="A268" t="s">
        <v>1313</v>
      </c>
      <c r="B268" t="s">
        <v>58</v>
      </c>
      <c r="C268" t="s">
        <v>1314</v>
      </c>
      <c r="D268" t="s">
        <v>1315</v>
      </c>
      <c r="G268" t="s">
        <v>1316</v>
      </c>
      <c r="H268" t="s">
        <v>1317</v>
      </c>
      <c r="I268" t="s">
        <v>476</v>
      </c>
      <c r="J268" t="s">
        <v>91</v>
      </c>
      <c r="K268" s="3" t="b">
        <v>1</v>
      </c>
      <c r="L268" s="3" t="b">
        <v>1</v>
      </c>
      <c r="M268" s="3" t="b">
        <v>0</v>
      </c>
      <c r="N268" s="3" t="b">
        <v>1</v>
      </c>
      <c r="O268" s="3" t="b">
        <v>0</v>
      </c>
      <c r="P268" s="3" t="b">
        <v>0</v>
      </c>
      <c r="Q268" s="3" t="b">
        <v>0</v>
      </c>
      <c r="R268" s="3" t="b">
        <v>0</v>
      </c>
      <c r="S268" s="3" t="b">
        <v>0</v>
      </c>
      <c r="T268">
        <v>3322</v>
      </c>
      <c r="U268">
        <v>111122</v>
      </c>
      <c r="V268">
        <v>1</v>
      </c>
      <c r="W268">
        <v>11305</v>
      </c>
      <c r="X268">
        <v>11304</v>
      </c>
    </row>
    <row r="269" spans="1:24" x14ac:dyDescent="0.2">
      <c r="A269" t="s">
        <v>1318</v>
      </c>
      <c r="B269" t="s">
        <v>31</v>
      </c>
      <c r="C269" t="s">
        <v>1319</v>
      </c>
      <c r="D269">
        <f>0.5</f>
        <v>0.5</v>
      </c>
      <c r="G269" t="s">
        <v>1320</v>
      </c>
      <c r="H269" t="s">
        <v>1321</v>
      </c>
      <c r="I269" t="s">
        <v>1322</v>
      </c>
      <c r="J269" t="s">
        <v>29</v>
      </c>
      <c r="K269" s="3" t="b">
        <v>1</v>
      </c>
      <c r="L269" s="3" t="b">
        <v>1</v>
      </c>
      <c r="M269" s="3" t="b">
        <v>0</v>
      </c>
      <c r="N269" s="3" t="b">
        <v>1</v>
      </c>
      <c r="O269" s="3" t="b">
        <v>1</v>
      </c>
      <c r="P269" s="3" t="b">
        <v>0</v>
      </c>
      <c r="Q269" s="3" t="b">
        <v>0</v>
      </c>
      <c r="R269" s="3" t="b">
        <v>0</v>
      </c>
      <c r="S269" s="3" t="b">
        <v>1</v>
      </c>
      <c r="T269">
        <v>30</v>
      </c>
      <c r="U269">
        <v>2403</v>
      </c>
      <c r="V269">
        <v>1</v>
      </c>
      <c r="W269">
        <v>156</v>
      </c>
      <c r="X269">
        <v>155</v>
      </c>
    </row>
    <row r="270" spans="1:24" x14ac:dyDescent="0.2">
      <c r="A270" t="s">
        <v>1323</v>
      </c>
      <c r="B270" t="s">
        <v>58</v>
      </c>
      <c r="C270" t="s">
        <v>1324</v>
      </c>
      <c r="D270" t="s">
        <v>1325</v>
      </c>
      <c r="G270" t="s">
        <v>1326</v>
      </c>
      <c r="H270" s="2" t="s">
        <v>1327</v>
      </c>
      <c r="I270" t="s">
        <v>1328</v>
      </c>
      <c r="J270" t="s">
        <v>29</v>
      </c>
      <c r="K270" s="3" t="b">
        <v>1</v>
      </c>
      <c r="L270" s="3" t="b">
        <v>1</v>
      </c>
      <c r="M270" s="3" t="b">
        <v>0</v>
      </c>
      <c r="N270" s="3" t="b">
        <v>1</v>
      </c>
      <c r="O270" s="3" t="b">
        <v>0</v>
      </c>
      <c r="P270" s="3" t="b">
        <v>0</v>
      </c>
      <c r="Q270" s="3" t="b">
        <v>0</v>
      </c>
      <c r="R270" s="3" t="b">
        <v>0</v>
      </c>
      <c r="S270" s="3" t="b">
        <v>0</v>
      </c>
      <c r="T270">
        <v>1168</v>
      </c>
      <c r="U270">
        <v>44148</v>
      </c>
      <c r="V270">
        <v>1</v>
      </c>
      <c r="W270">
        <v>3268</v>
      </c>
      <c r="X270">
        <v>3267</v>
      </c>
    </row>
    <row r="271" spans="1:24" x14ac:dyDescent="0.2">
      <c r="A271" t="s">
        <v>1329</v>
      </c>
      <c r="B271" t="s">
        <v>51</v>
      </c>
      <c r="C271" t="s">
        <v>1330</v>
      </c>
      <c r="D271" t="s">
        <v>1331</v>
      </c>
      <c r="E271" t="s">
        <v>1332</v>
      </c>
      <c r="G271" t="s">
        <v>1333</v>
      </c>
      <c r="H271" t="s">
        <v>1334</v>
      </c>
      <c r="I271" t="s">
        <v>1335</v>
      </c>
      <c r="J271" t="s">
        <v>91</v>
      </c>
      <c r="K271" s="3" t="b">
        <v>1</v>
      </c>
      <c r="L271" s="3" t="b">
        <v>1</v>
      </c>
      <c r="M271" s="3" t="b">
        <v>0</v>
      </c>
      <c r="N271" s="3" t="b">
        <v>1</v>
      </c>
      <c r="O271" s="3" t="b">
        <v>0</v>
      </c>
      <c r="P271" s="3" t="b">
        <v>0</v>
      </c>
      <c r="Q271" s="3" t="b">
        <v>0</v>
      </c>
      <c r="R271" s="3" t="b">
        <v>0</v>
      </c>
      <c r="S271" s="3" t="b">
        <v>0</v>
      </c>
      <c r="T271">
        <v>2771</v>
      </c>
      <c r="U271">
        <v>96297</v>
      </c>
      <c r="V271">
        <v>1</v>
      </c>
      <c r="W271">
        <v>8061</v>
      </c>
      <c r="X271">
        <v>8060</v>
      </c>
    </row>
    <row r="272" spans="1:24" x14ac:dyDescent="0.2">
      <c r="A272" t="s">
        <v>1336</v>
      </c>
      <c r="B272" t="s">
        <v>58</v>
      </c>
      <c r="C272" t="s">
        <v>1337</v>
      </c>
      <c r="D272" t="s">
        <v>1338</v>
      </c>
      <c r="G272" t="s">
        <v>1339</v>
      </c>
      <c r="H272" t="s">
        <v>1340</v>
      </c>
      <c r="I272" t="s">
        <v>1111</v>
      </c>
      <c r="J272" t="s">
        <v>91</v>
      </c>
      <c r="K272" s="3" t="b">
        <v>1</v>
      </c>
      <c r="L272" s="3" t="b">
        <v>0</v>
      </c>
      <c r="M272" s="3" t="b">
        <v>0</v>
      </c>
      <c r="N272" s="3" t="b">
        <v>0</v>
      </c>
      <c r="O272" s="3" t="b">
        <v>0</v>
      </c>
      <c r="P272" s="3" t="b">
        <v>0</v>
      </c>
      <c r="Q272" s="3" t="b">
        <v>0</v>
      </c>
      <c r="R272" s="3" t="b">
        <v>0</v>
      </c>
      <c r="S272" s="3" t="b">
        <v>0</v>
      </c>
      <c r="T272">
        <v>114</v>
      </c>
      <c r="U272">
        <v>7704</v>
      </c>
      <c r="V272">
        <v>1</v>
      </c>
      <c r="W272">
        <v>653</v>
      </c>
      <c r="X272">
        <v>646</v>
      </c>
    </row>
    <row r="273" spans="1:24" x14ac:dyDescent="0.2">
      <c r="A273" t="s">
        <v>1341</v>
      </c>
      <c r="B273" t="s">
        <v>51</v>
      </c>
      <c r="C273" t="s">
        <v>1342</v>
      </c>
      <c r="E273" t="s">
        <v>336</v>
      </c>
      <c r="G273" t="s">
        <v>1343</v>
      </c>
      <c r="H273" t="s">
        <v>1344</v>
      </c>
      <c r="I273" t="s">
        <v>1345</v>
      </c>
      <c r="J273" t="s">
        <v>1346</v>
      </c>
      <c r="K273" s="3" t="b">
        <v>1</v>
      </c>
      <c r="L273" s="3" t="b">
        <v>1</v>
      </c>
      <c r="M273" s="3" t="b">
        <v>0</v>
      </c>
      <c r="N273" s="3" t="b">
        <v>1</v>
      </c>
      <c r="O273" s="3" t="b">
        <v>1</v>
      </c>
      <c r="P273" s="3" t="b">
        <v>1</v>
      </c>
      <c r="Q273" s="3" t="b">
        <v>0</v>
      </c>
      <c r="R273" s="3" t="b">
        <v>0</v>
      </c>
      <c r="S273" s="3" t="b">
        <v>1</v>
      </c>
      <c r="T273">
        <v>3811</v>
      </c>
      <c r="U273">
        <v>180769</v>
      </c>
      <c r="V273">
        <v>1</v>
      </c>
      <c r="W273">
        <v>13526</v>
      </c>
      <c r="X273">
        <v>13525</v>
      </c>
    </row>
    <row r="274" spans="1:24" x14ac:dyDescent="0.2">
      <c r="A274" t="s">
        <v>1347</v>
      </c>
      <c r="B274" t="s">
        <v>58</v>
      </c>
      <c r="C274" t="s">
        <v>1348</v>
      </c>
      <c r="G274" t="s">
        <v>1349</v>
      </c>
      <c r="H274" t="s">
        <v>1350</v>
      </c>
      <c r="I274" t="s">
        <v>220</v>
      </c>
      <c r="J274" t="s">
        <v>91</v>
      </c>
      <c r="K274" s="3" t="b">
        <v>1</v>
      </c>
      <c r="L274" s="3" t="b">
        <v>1</v>
      </c>
      <c r="M274" s="3" t="b">
        <v>0</v>
      </c>
      <c r="N274" s="3" t="b">
        <v>1</v>
      </c>
      <c r="O274" s="3" t="b">
        <v>1</v>
      </c>
      <c r="P274" s="3" t="b">
        <v>0</v>
      </c>
      <c r="Q274" s="3" t="b">
        <v>0</v>
      </c>
      <c r="R274" s="3" t="b">
        <v>0</v>
      </c>
      <c r="S274" s="3" t="b">
        <v>0</v>
      </c>
      <c r="T274">
        <v>2872</v>
      </c>
      <c r="U274">
        <v>97877</v>
      </c>
      <c r="V274">
        <v>1</v>
      </c>
      <c r="W274">
        <v>8506</v>
      </c>
      <c r="X274">
        <v>8505</v>
      </c>
    </row>
    <row r="275" spans="1:24" x14ac:dyDescent="0.2">
      <c r="A275" t="s">
        <v>1351</v>
      </c>
      <c r="B275" t="s">
        <v>58</v>
      </c>
      <c r="C275" t="s">
        <v>297</v>
      </c>
      <c r="G275" t="s">
        <v>1352</v>
      </c>
      <c r="H275" t="s">
        <v>1353</v>
      </c>
      <c r="I275" t="s">
        <v>1354</v>
      </c>
      <c r="J275" t="s">
        <v>29</v>
      </c>
      <c r="K275" s="3" t="b">
        <v>1</v>
      </c>
      <c r="L275" s="3" t="b">
        <v>1</v>
      </c>
      <c r="M275" s="3" t="b">
        <v>0</v>
      </c>
      <c r="N275" s="3" t="b">
        <v>1</v>
      </c>
      <c r="O275" s="3" t="b">
        <v>0</v>
      </c>
      <c r="P275" s="3" t="b">
        <v>0</v>
      </c>
      <c r="Q275" s="3" t="b">
        <v>0</v>
      </c>
      <c r="R275" s="3" t="b">
        <v>0</v>
      </c>
      <c r="S275" s="3" t="b">
        <v>0</v>
      </c>
      <c r="T275">
        <v>3380</v>
      </c>
      <c r="U275">
        <v>115210</v>
      </c>
      <c r="V275">
        <v>1</v>
      </c>
      <c r="W275">
        <v>11928</v>
      </c>
      <c r="X275">
        <v>11927</v>
      </c>
    </row>
    <row r="276" spans="1:24" x14ac:dyDescent="0.2">
      <c r="A276" t="s">
        <v>1355</v>
      </c>
      <c r="B276" t="s">
        <v>24</v>
      </c>
      <c r="C276" t="s">
        <v>437</v>
      </c>
      <c r="G276" t="s">
        <v>1356</v>
      </c>
      <c r="H276" t="s">
        <v>1357</v>
      </c>
      <c r="I276" t="s">
        <v>113</v>
      </c>
      <c r="J276" t="s">
        <v>29</v>
      </c>
      <c r="K276" s="3" t="b">
        <v>1</v>
      </c>
      <c r="L276" s="3" t="b">
        <v>1</v>
      </c>
      <c r="M276" s="3" t="b">
        <v>0</v>
      </c>
      <c r="N276" s="3" t="b">
        <v>1</v>
      </c>
      <c r="O276" s="3" t="b">
        <v>1</v>
      </c>
      <c r="P276" s="3" t="b">
        <v>0</v>
      </c>
      <c r="Q276" s="3" t="b">
        <v>0</v>
      </c>
      <c r="R276" s="3" t="b">
        <v>0</v>
      </c>
      <c r="S276" s="3" t="b">
        <v>0</v>
      </c>
      <c r="T276">
        <v>3612</v>
      </c>
      <c r="U276">
        <v>149926</v>
      </c>
      <c r="V276">
        <v>1</v>
      </c>
      <c r="W276">
        <v>13078</v>
      </c>
      <c r="X276">
        <v>13077</v>
      </c>
    </row>
    <row r="277" spans="1:24" x14ac:dyDescent="0.2">
      <c r="A277" t="s">
        <v>1358</v>
      </c>
      <c r="B277" t="s">
        <v>24</v>
      </c>
      <c r="C277" t="s">
        <v>1359</v>
      </c>
      <c r="G277" t="s">
        <v>293</v>
      </c>
      <c r="H277" t="s">
        <v>294</v>
      </c>
      <c r="I277" t="s">
        <v>295</v>
      </c>
      <c r="J277" t="s">
        <v>29</v>
      </c>
      <c r="K277" s="3" t="b">
        <v>1</v>
      </c>
      <c r="L277" s="3" t="b">
        <v>1</v>
      </c>
      <c r="M277" s="3" t="b">
        <v>0</v>
      </c>
      <c r="N277" s="3" t="b">
        <v>1</v>
      </c>
      <c r="O277" s="3" t="b">
        <v>1</v>
      </c>
      <c r="P277" s="3" t="b">
        <v>0</v>
      </c>
      <c r="Q277" s="3" t="b">
        <v>0</v>
      </c>
      <c r="R277" s="3" t="b">
        <v>0</v>
      </c>
      <c r="S277" s="3" t="b">
        <v>0</v>
      </c>
      <c r="T277">
        <v>34</v>
      </c>
      <c r="U277">
        <v>2403</v>
      </c>
      <c r="V277">
        <v>1</v>
      </c>
      <c r="W277">
        <v>152</v>
      </c>
      <c r="X277">
        <v>151</v>
      </c>
    </row>
    <row r="278" spans="1:24" x14ac:dyDescent="0.2">
      <c r="A278" t="s">
        <v>1360</v>
      </c>
      <c r="B278" t="s">
        <v>24</v>
      </c>
      <c r="C278" t="s">
        <v>836</v>
      </c>
      <c r="D278" t="s">
        <v>1361</v>
      </c>
      <c r="F278" t="s">
        <v>1362</v>
      </c>
      <c r="G278" t="s">
        <v>528</v>
      </c>
      <c r="H278" t="s">
        <v>529</v>
      </c>
      <c r="I278" t="s">
        <v>530</v>
      </c>
      <c r="J278" t="s">
        <v>29</v>
      </c>
      <c r="K278" s="3" t="b">
        <v>1</v>
      </c>
      <c r="L278" s="3" t="b">
        <v>1</v>
      </c>
      <c r="M278" s="3" t="b">
        <v>0</v>
      </c>
      <c r="N278" s="3" t="b">
        <v>1</v>
      </c>
      <c r="O278" s="3" t="b">
        <v>0</v>
      </c>
      <c r="P278" s="3" t="b">
        <v>0</v>
      </c>
      <c r="Q278" s="3" t="b">
        <v>0</v>
      </c>
      <c r="R278" s="3" t="b">
        <v>0</v>
      </c>
      <c r="S278" s="3" t="b">
        <v>0</v>
      </c>
      <c r="T278">
        <v>937</v>
      </c>
      <c r="U278">
        <v>34392</v>
      </c>
      <c r="V278">
        <v>1</v>
      </c>
      <c r="W278">
        <v>2649</v>
      </c>
      <c r="X278">
        <v>2648</v>
      </c>
    </row>
    <row r="279" spans="1:24" x14ac:dyDescent="0.2">
      <c r="A279" t="s">
        <v>1363</v>
      </c>
      <c r="B279" t="s">
        <v>58</v>
      </c>
      <c r="C279" t="s">
        <v>889</v>
      </c>
      <c r="D279" t="s">
        <v>890</v>
      </c>
      <c r="G279" t="s">
        <v>1046</v>
      </c>
      <c r="H279" t="s">
        <v>1047</v>
      </c>
      <c r="I279" t="s">
        <v>495</v>
      </c>
      <c r="J279" t="s">
        <v>91</v>
      </c>
      <c r="K279" s="3" t="b">
        <v>1</v>
      </c>
      <c r="L279" s="3" t="b">
        <v>0</v>
      </c>
      <c r="M279" s="3" t="b">
        <v>0</v>
      </c>
      <c r="N279" s="3" t="b">
        <v>0</v>
      </c>
      <c r="O279" s="3" t="b">
        <v>0</v>
      </c>
      <c r="P279" s="3" t="b">
        <v>0</v>
      </c>
      <c r="Q279" s="3" t="b">
        <v>0</v>
      </c>
      <c r="R279" s="3" t="b">
        <v>0</v>
      </c>
      <c r="S279" s="3" t="b">
        <v>0</v>
      </c>
      <c r="T279">
        <v>2262</v>
      </c>
      <c r="U279">
        <v>77688</v>
      </c>
      <c r="V279">
        <v>1</v>
      </c>
      <c r="W279">
        <v>7049</v>
      </c>
      <c r="X279">
        <v>7046</v>
      </c>
    </row>
    <row r="280" spans="1:24" x14ac:dyDescent="0.2">
      <c r="A280" t="s">
        <v>1364</v>
      </c>
      <c r="B280" t="s">
        <v>58</v>
      </c>
      <c r="C280" t="s">
        <v>336</v>
      </c>
      <c r="G280" t="s">
        <v>1131</v>
      </c>
      <c r="H280" t="s">
        <v>1132</v>
      </c>
      <c r="I280" t="s">
        <v>1133</v>
      </c>
      <c r="J280" t="s">
        <v>1365</v>
      </c>
      <c r="K280" s="3" t="b">
        <v>1</v>
      </c>
      <c r="L280" s="3" t="b">
        <v>0</v>
      </c>
      <c r="M280" s="3" t="b">
        <v>0</v>
      </c>
      <c r="N280" s="3" t="b">
        <v>0</v>
      </c>
      <c r="O280" s="3" t="b">
        <v>0</v>
      </c>
      <c r="P280" s="3" t="b">
        <v>0</v>
      </c>
      <c r="Q280" s="3" t="b">
        <v>0</v>
      </c>
      <c r="R280" s="3" t="b">
        <v>0</v>
      </c>
      <c r="S280" s="3" t="b">
        <v>0</v>
      </c>
      <c r="T280">
        <v>3823</v>
      </c>
      <c r="U280">
        <v>180769</v>
      </c>
      <c r="V280">
        <v>1</v>
      </c>
      <c r="W280">
        <v>13514</v>
      </c>
      <c r="X280">
        <v>13513</v>
      </c>
    </row>
    <row r="281" spans="1:24" x14ac:dyDescent="0.2">
      <c r="A281" t="s">
        <v>1366</v>
      </c>
      <c r="B281" t="s">
        <v>58</v>
      </c>
      <c r="C281" t="s">
        <v>1367</v>
      </c>
      <c r="G281" t="s">
        <v>182</v>
      </c>
      <c r="H281" t="s">
        <v>183</v>
      </c>
      <c r="I281" t="s">
        <v>184</v>
      </c>
      <c r="J281" t="s">
        <v>29</v>
      </c>
      <c r="K281" s="3" t="b">
        <v>1</v>
      </c>
      <c r="L281" s="3" t="b">
        <v>1</v>
      </c>
      <c r="M281" s="3" t="b">
        <v>0</v>
      </c>
      <c r="N281" s="3" t="b">
        <v>1</v>
      </c>
      <c r="O281" s="3" t="b">
        <v>0</v>
      </c>
      <c r="P281" s="3" t="b">
        <v>0</v>
      </c>
      <c r="Q281" s="3" t="b">
        <v>0</v>
      </c>
      <c r="R281" s="3" t="b">
        <v>0</v>
      </c>
      <c r="S281" s="3" t="b">
        <v>0</v>
      </c>
      <c r="T281">
        <v>2930</v>
      </c>
      <c r="U281">
        <v>99225</v>
      </c>
      <c r="V281">
        <v>1</v>
      </c>
      <c r="W281">
        <v>8627</v>
      </c>
      <c r="X281">
        <v>8626</v>
      </c>
    </row>
    <row r="282" spans="1:24" x14ac:dyDescent="0.2">
      <c r="A282" t="s">
        <v>1368</v>
      </c>
      <c r="B282" t="s">
        <v>24</v>
      </c>
      <c r="C282" t="s">
        <v>260</v>
      </c>
      <c r="D282" t="s">
        <v>1369</v>
      </c>
      <c r="F282" t="s">
        <v>261</v>
      </c>
      <c r="G282" t="s">
        <v>1259</v>
      </c>
      <c r="H282" t="s">
        <v>1260</v>
      </c>
      <c r="I282" t="s">
        <v>131</v>
      </c>
      <c r="J282" t="s">
        <v>91</v>
      </c>
      <c r="K282" s="3" t="b">
        <v>1</v>
      </c>
      <c r="L282" s="3" t="b">
        <v>1</v>
      </c>
      <c r="M282" s="3" t="b">
        <v>1</v>
      </c>
      <c r="N282" s="3" t="b">
        <v>1</v>
      </c>
      <c r="O282" s="3" t="b">
        <v>1</v>
      </c>
      <c r="P282" s="3" t="b">
        <v>0</v>
      </c>
      <c r="Q282" s="3" t="b">
        <v>0</v>
      </c>
      <c r="R282" s="3" t="b">
        <v>0</v>
      </c>
      <c r="S282" s="3" t="b">
        <v>1</v>
      </c>
      <c r="T282">
        <v>931</v>
      </c>
      <c r="U282">
        <v>34392</v>
      </c>
      <c r="V282">
        <v>1</v>
      </c>
      <c r="W282">
        <v>2655</v>
      </c>
      <c r="X282">
        <v>2654</v>
      </c>
    </row>
    <row r="283" spans="1:24" x14ac:dyDescent="0.2">
      <c r="A283" t="s">
        <v>1370</v>
      </c>
      <c r="B283" t="s">
        <v>24</v>
      </c>
      <c r="C283" t="s">
        <v>763</v>
      </c>
      <c r="G283" t="s">
        <v>293</v>
      </c>
      <c r="H283" t="s">
        <v>294</v>
      </c>
      <c r="I283" t="s">
        <v>295</v>
      </c>
      <c r="J283" t="s">
        <v>29</v>
      </c>
      <c r="K283" s="3" t="b">
        <v>1</v>
      </c>
      <c r="L283" s="3" t="b">
        <v>1</v>
      </c>
      <c r="M283" s="3" t="b">
        <v>0</v>
      </c>
      <c r="N283" s="3" t="b">
        <v>1</v>
      </c>
      <c r="O283" s="3" t="b">
        <v>1</v>
      </c>
      <c r="P283" s="3" t="b">
        <v>0</v>
      </c>
      <c r="Q283" s="3" t="b">
        <v>0</v>
      </c>
      <c r="R283" s="3" t="b">
        <v>0</v>
      </c>
      <c r="S283" s="3" t="b">
        <v>0</v>
      </c>
      <c r="T283">
        <v>34</v>
      </c>
      <c r="U283">
        <v>2403</v>
      </c>
      <c r="V283">
        <v>1</v>
      </c>
      <c r="W283">
        <v>152</v>
      </c>
      <c r="X283">
        <v>151</v>
      </c>
    </row>
    <row r="284" spans="1:24" x14ac:dyDescent="0.2">
      <c r="A284" t="s">
        <v>1371</v>
      </c>
      <c r="B284" t="s">
        <v>31</v>
      </c>
      <c r="C284" t="s">
        <v>1098</v>
      </c>
      <c r="D284" t="s">
        <v>1372</v>
      </c>
      <c r="G284" t="s">
        <v>1373</v>
      </c>
      <c r="H284" t="s">
        <v>1374</v>
      </c>
      <c r="I284" t="s">
        <v>545</v>
      </c>
      <c r="J284" t="s">
        <v>1375</v>
      </c>
      <c r="K284" s="3" t="b">
        <v>1</v>
      </c>
      <c r="L284" s="3" t="b">
        <v>0</v>
      </c>
      <c r="M284" s="3" t="b">
        <v>0</v>
      </c>
      <c r="N284" s="3" t="b">
        <v>0</v>
      </c>
      <c r="O284" s="3" t="b">
        <v>0</v>
      </c>
      <c r="P284" s="3" t="b">
        <v>0</v>
      </c>
      <c r="Q284" s="3" t="b">
        <v>0</v>
      </c>
      <c r="R284" s="3" t="b">
        <v>0</v>
      </c>
      <c r="S284" s="3" t="b">
        <v>0</v>
      </c>
      <c r="T284">
        <v>548</v>
      </c>
      <c r="U284">
        <v>20474</v>
      </c>
      <c r="V284">
        <v>1</v>
      </c>
      <c r="W284">
        <v>1716</v>
      </c>
      <c r="X284">
        <v>1715</v>
      </c>
    </row>
    <row r="285" spans="1:24" x14ac:dyDescent="0.2">
      <c r="A285" t="s">
        <v>1376</v>
      </c>
      <c r="B285" t="s">
        <v>31</v>
      </c>
      <c r="C285" t="s">
        <v>1377</v>
      </c>
      <c r="D285" t="s">
        <v>1378</v>
      </c>
      <c r="G285" t="s">
        <v>1379</v>
      </c>
      <c r="H285" t="s">
        <v>1380</v>
      </c>
      <c r="I285" t="s">
        <v>1381</v>
      </c>
      <c r="J285" t="s">
        <v>568</v>
      </c>
      <c r="K285" s="3" t="b">
        <v>1</v>
      </c>
      <c r="L285" s="3" t="b">
        <v>1</v>
      </c>
      <c r="M285" s="3" t="b">
        <v>0</v>
      </c>
      <c r="N285" s="3" t="b">
        <v>1</v>
      </c>
      <c r="O285" s="3" t="b">
        <v>0</v>
      </c>
      <c r="P285" s="3" t="b">
        <v>0</v>
      </c>
      <c r="Q285" s="3" t="b">
        <v>0</v>
      </c>
      <c r="R285" s="3" t="b">
        <v>0</v>
      </c>
      <c r="S285" s="3" t="b">
        <v>0</v>
      </c>
      <c r="T285">
        <v>1130</v>
      </c>
      <c r="U285">
        <v>40772</v>
      </c>
      <c r="V285">
        <v>1</v>
      </c>
      <c r="W285">
        <v>2996</v>
      </c>
      <c r="X285">
        <v>2995</v>
      </c>
    </row>
    <row r="286" spans="1:24" x14ac:dyDescent="0.2">
      <c r="A286" t="s">
        <v>1382</v>
      </c>
      <c r="B286" t="s">
        <v>24</v>
      </c>
      <c r="C286" t="s">
        <v>234</v>
      </c>
      <c r="G286" t="s">
        <v>1383</v>
      </c>
      <c r="H286" t="s">
        <v>1384</v>
      </c>
      <c r="I286" t="s">
        <v>309</v>
      </c>
      <c r="J286" t="s">
        <v>310</v>
      </c>
      <c r="K286" s="3" t="b">
        <v>1</v>
      </c>
      <c r="L286" s="3" t="b">
        <v>1</v>
      </c>
      <c r="M286" s="3" t="b">
        <v>0</v>
      </c>
      <c r="N286" s="3" t="b">
        <v>1</v>
      </c>
      <c r="O286" s="3" t="b">
        <v>1</v>
      </c>
      <c r="P286" s="3" t="b">
        <v>0</v>
      </c>
      <c r="Q286" s="3" t="b">
        <v>0</v>
      </c>
      <c r="R286" s="3" t="b">
        <v>0</v>
      </c>
      <c r="S286" s="3" t="b">
        <v>1</v>
      </c>
      <c r="T286">
        <v>680</v>
      </c>
      <c r="U286">
        <v>21283</v>
      </c>
      <c r="V286">
        <v>38</v>
      </c>
      <c r="W286">
        <v>1921</v>
      </c>
      <c r="X286">
        <v>1856</v>
      </c>
    </row>
    <row r="287" spans="1:24" x14ac:dyDescent="0.2">
      <c r="A287" t="s">
        <v>1385</v>
      </c>
      <c r="B287" t="s">
        <v>58</v>
      </c>
      <c r="C287" t="s">
        <v>1386</v>
      </c>
      <c r="G287" t="s">
        <v>1387</v>
      </c>
      <c r="H287" t="s">
        <v>1388</v>
      </c>
      <c r="I287" t="s">
        <v>295</v>
      </c>
      <c r="J287" t="s">
        <v>29</v>
      </c>
      <c r="K287" s="3" t="b">
        <v>1</v>
      </c>
      <c r="L287" s="3" t="b">
        <v>1</v>
      </c>
      <c r="M287" s="3" t="b">
        <v>0</v>
      </c>
      <c r="N287" s="3" t="b">
        <v>1</v>
      </c>
      <c r="O287" s="3" t="b">
        <v>1</v>
      </c>
      <c r="P287" s="3" t="b">
        <v>0</v>
      </c>
      <c r="Q287" s="3" t="b">
        <v>0</v>
      </c>
      <c r="R287" s="3" t="b">
        <v>0</v>
      </c>
      <c r="S287" s="3" t="b">
        <v>0</v>
      </c>
      <c r="T287">
        <v>34</v>
      </c>
      <c r="U287">
        <v>2403</v>
      </c>
      <c r="V287">
        <v>1</v>
      </c>
      <c r="W287">
        <v>152</v>
      </c>
      <c r="X287">
        <v>151</v>
      </c>
    </row>
    <row r="288" spans="1:24" x14ac:dyDescent="0.2">
      <c r="A288" t="s">
        <v>1389</v>
      </c>
      <c r="B288" t="s">
        <v>58</v>
      </c>
      <c r="C288" t="s">
        <v>1390</v>
      </c>
      <c r="D288" t="s">
        <v>1391</v>
      </c>
      <c r="G288" t="s">
        <v>713</v>
      </c>
      <c r="H288" t="s">
        <v>714</v>
      </c>
      <c r="I288" t="s">
        <v>715</v>
      </c>
      <c r="J288" t="s">
        <v>91</v>
      </c>
      <c r="K288" s="3" t="b">
        <v>1</v>
      </c>
      <c r="L288" s="3" t="b">
        <v>1</v>
      </c>
      <c r="M288" s="3" t="b">
        <v>0</v>
      </c>
      <c r="N288" s="3" t="b">
        <v>1</v>
      </c>
      <c r="O288" s="3" t="b">
        <v>1</v>
      </c>
      <c r="P288" s="3" t="b">
        <v>0</v>
      </c>
      <c r="Q288" s="3" t="b">
        <v>0</v>
      </c>
      <c r="R288" s="3" t="b">
        <v>0</v>
      </c>
      <c r="S288" s="3" t="b">
        <v>0</v>
      </c>
      <c r="T288">
        <v>2866</v>
      </c>
      <c r="U288">
        <v>97877</v>
      </c>
      <c r="V288">
        <v>1</v>
      </c>
      <c r="W288">
        <v>8512</v>
      </c>
      <c r="X288">
        <v>8511</v>
      </c>
    </row>
    <row r="289" spans="1:24" x14ac:dyDescent="0.2">
      <c r="A289" t="s">
        <v>1392</v>
      </c>
      <c r="B289" t="s">
        <v>24</v>
      </c>
      <c r="C289" t="s">
        <v>1393</v>
      </c>
      <c r="G289" t="s">
        <v>136</v>
      </c>
      <c r="H289" t="s">
        <v>137</v>
      </c>
      <c r="I289" t="s">
        <v>138</v>
      </c>
      <c r="J289" t="s">
        <v>29</v>
      </c>
      <c r="K289" s="3" t="b">
        <v>1</v>
      </c>
      <c r="L289" s="3" t="b">
        <v>0</v>
      </c>
      <c r="M289" s="3" t="b">
        <v>0</v>
      </c>
      <c r="N289" s="3" t="b">
        <v>0</v>
      </c>
      <c r="O289" s="3" t="b">
        <v>0</v>
      </c>
      <c r="P289" s="3" t="b">
        <v>0</v>
      </c>
      <c r="Q289" s="3" t="b">
        <v>0</v>
      </c>
      <c r="R289" s="3" t="b">
        <v>0</v>
      </c>
      <c r="S289" s="3" t="b">
        <v>0</v>
      </c>
      <c r="T289">
        <v>3613</v>
      </c>
      <c r="U289">
        <v>149926</v>
      </c>
      <c r="V289">
        <v>1</v>
      </c>
      <c r="W289">
        <v>13077</v>
      </c>
      <c r="X289">
        <v>13076</v>
      </c>
    </row>
    <row r="290" spans="1:24" x14ac:dyDescent="0.2">
      <c r="A290" t="s">
        <v>1394</v>
      </c>
      <c r="B290" t="s">
        <v>31</v>
      </c>
      <c r="C290" t="s">
        <v>1395</v>
      </c>
      <c r="G290" t="s">
        <v>312</v>
      </c>
      <c r="H290" t="s">
        <v>313</v>
      </c>
      <c r="I290" t="s">
        <v>314</v>
      </c>
      <c r="J290" t="s">
        <v>315</v>
      </c>
      <c r="K290" s="3" t="b">
        <v>1</v>
      </c>
      <c r="L290" s="3" t="b">
        <v>0</v>
      </c>
      <c r="M290" s="3" t="b">
        <v>0</v>
      </c>
      <c r="N290" s="3" t="b">
        <v>0</v>
      </c>
      <c r="O290" s="3" t="b">
        <v>0</v>
      </c>
      <c r="P290" s="3" t="b">
        <v>0</v>
      </c>
      <c r="Q290" s="3" t="b">
        <v>0</v>
      </c>
      <c r="R290" s="3" t="b">
        <v>0</v>
      </c>
      <c r="S290" s="3" t="b">
        <v>0</v>
      </c>
      <c r="T290">
        <v>2339</v>
      </c>
      <c r="U290">
        <v>85311</v>
      </c>
      <c r="V290">
        <v>1</v>
      </c>
      <c r="W290">
        <v>7366</v>
      </c>
      <c r="X290">
        <v>7365</v>
      </c>
    </row>
    <row r="291" spans="1:24" x14ac:dyDescent="0.2">
      <c r="A291" t="s">
        <v>1396</v>
      </c>
      <c r="B291" t="s">
        <v>31</v>
      </c>
      <c r="C291" t="s">
        <v>1397</v>
      </c>
      <c r="G291" t="s">
        <v>77</v>
      </c>
      <c r="H291" t="s">
        <v>78</v>
      </c>
      <c r="I291" t="s">
        <v>79</v>
      </c>
      <c r="J291" t="s">
        <v>29</v>
      </c>
      <c r="K291" s="3" t="b">
        <v>1</v>
      </c>
      <c r="L291" s="3" t="b">
        <v>1</v>
      </c>
      <c r="M291" s="3" t="b">
        <v>0</v>
      </c>
      <c r="N291" s="3" t="b">
        <v>1</v>
      </c>
      <c r="O291" s="3" t="b">
        <v>1</v>
      </c>
      <c r="P291" s="3" t="b">
        <v>0</v>
      </c>
      <c r="Q291" s="3" t="b">
        <v>0</v>
      </c>
      <c r="R291" s="3" t="b">
        <v>0</v>
      </c>
      <c r="S291" s="3" t="b">
        <v>0</v>
      </c>
      <c r="T291">
        <v>2932</v>
      </c>
      <c r="U291">
        <v>99225</v>
      </c>
      <c r="V291">
        <v>1</v>
      </c>
      <c r="W291">
        <v>8625</v>
      </c>
      <c r="X291">
        <v>8624</v>
      </c>
    </row>
    <row r="292" spans="1:24" x14ac:dyDescent="0.2">
      <c r="A292" t="s">
        <v>1398</v>
      </c>
      <c r="B292" t="s">
        <v>24</v>
      </c>
      <c r="C292" t="s">
        <v>1399</v>
      </c>
      <c r="D292" t="s">
        <v>1400</v>
      </c>
      <c r="F292" t="s">
        <v>1401</v>
      </c>
      <c r="G292" t="s">
        <v>1402</v>
      </c>
      <c r="H292" t="s">
        <v>1403</v>
      </c>
      <c r="I292" t="s">
        <v>545</v>
      </c>
      <c r="J292" t="s">
        <v>1404</v>
      </c>
      <c r="K292" s="3" t="b">
        <v>1</v>
      </c>
      <c r="L292" s="3" t="b">
        <v>1</v>
      </c>
      <c r="M292" s="3" t="b">
        <v>1</v>
      </c>
      <c r="N292" s="3" t="b">
        <v>1</v>
      </c>
      <c r="O292" s="3" t="b">
        <v>1</v>
      </c>
      <c r="P292" s="3" t="b">
        <v>0</v>
      </c>
      <c r="Q292" s="3" t="b">
        <v>0</v>
      </c>
      <c r="R292" s="3" t="b">
        <v>0</v>
      </c>
      <c r="S292" s="3" t="b">
        <v>0</v>
      </c>
      <c r="T292">
        <v>548</v>
      </c>
      <c r="U292">
        <v>20474</v>
      </c>
      <c r="V292">
        <v>1</v>
      </c>
      <c r="W292">
        <v>1716</v>
      </c>
      <c r="X292">
        <v>1715</v>
      </c>
    </row>
    <row r="293" spans="1:24" x14ac:dyDescent="0.2">
      <c r="A293" t="s">
        <v>1405</v>
      </c>
      <c r="B293" t="s">
        <v>58</v>
      </c>
      <c r="C293" t="s">
        <v>1406</v>
      </c>
      <c r="D293" t="s">
        <v>1407</v>
      </c>
      <c r="G293" t="s">
        <v>1408</v>
      </c>
      <c r="H293" t="s">
        <v>1409</v>
      </c>
      <c r="I293" t="s">
        <v>79</v>
      </c>
      <c r="J293" t="s">
        <v>91</v>
      </c>
      <c r="K293" s="3" t="b">
        <v>1</v>
      </c>
      <c r="L293" s="3" t="b">
        <v>0</v>
      </c>
      <c r="M293" s="3" t="b">
        <v>0</v>
      </c>
      <c r="N293" s="3" t="b">
        <v>0</v>
      </c>
      <c r="O293" s="3" t="b">
        <v>0</v>
      </c>
      <c r="P293" s="3" t="b">
        <v>0</v>
      </c>
      <c r="Q293" s="3" t="b">
        <v>0</v>
      </c>
      <c r="R293" s="3" t="b">
        <v>0</v>
      </c>
      <c r="S293" s="3" t="b">
        <v>0</v>
      </c>
      <c r="T293">
        <v>2932</v>
      </c>
      <c r="U293">
        <v>99225</v>
      </c>
      <c r="V293">
        <v>1</v>
      </c>
      <c r="W293">
        <v>8625</v>
      </c>
      <c r="X293">
        <v>8624</v>
      </c>
    </row>
    <row r="294" spans="1:24" ht="20" customHeight="1" x14ac:dyDescent="0.2">
      <c r="A294" t="s">
        <v>1410</v>
      </c>
      <c r="B294" t="s">
        <v>51</v>
      </c>
      <c r="C294" t="s">
        <v>1411</v>
      </c>
      <c r="D294" t="s">
        <v>741</v>
      </c>
      <c r="E294" t="s">
        <v>1412</v>
      </c>
      <c r="G294" t="s">
        <v>1413</v>
      </c>
      <c r="H294" t="s">
        <v>1414</v>
      </c>
      <c r="I294" t="s">
        <v>1415</v>
      </c>
      <c r="J294" t="s">
        <v>91</v>
      </c>
      <c r="K294" s="3" t="b">
        <v>1</v>
      </c>
      <c r="L294" s="3" t="b">
        <v>1</v>
      </c>
      <c r="M294" s="3" t="b">
        <v>1</v>
      </c>
      <c r="N294" s="3" t="b">
        <v>1</v>
      </c>
      <c r="O294" s="3" t="b">
        <v>1</v>
      </c>
      <c r="P294" s="3" t="b">
        <v>1</v>
      </c>
      <c r="Q294" s="3" t="b">
        <v>0</v>
      </c>
      <c r="R294" s="3" t="b">
        <v>0</v>
      </c>
      <c r="S294" s="3" t="b">
        <v>1</v>
      </c>
      <c r="T294">
        <v>997</v>
      </c>
      <c r="U294">
        <v>35685</v>
      </c>
      <c r="V294">
        <v>1</v>
      </c>
      <c r="W294">
        <v>2739</v>
      </c>
      <c r="X294">
        <v>2738</v>
      </c>
    </row>
    <row r="295" spans="1:24" x14ac:dyDescent="0.2">
      <c r="A295" t="s">
        <v>1416</v>
      </c>
      <c r="B295" t="s">
        <v>24</v>
      </c>
      <c r="C295" t="s">
        <v>1417</v>
      </c>
      <c r="G295" t="s">
        <v>1418</v>
      </c>
      <c r="H295" t="s">
        <v>1419</v>
      </c>
      <c r="I295" t="s">
        <v>1420</v>
      </c>
      <c r="J295" t="s">
        <v>29</v>
      </c>
      <c r="K295" s="3" t="b">
        <v>1</v>
      </c>
      <c r="L295" s="3" t="b">
        <v>1</v>
      </c>
      <c r="M295" s="3" t="b">
        <v>0</v>
      </c>
      <c r="N295" s="3" t="b">
        <v>1</v>
      </c>
      <c r="O295" s="3" t="b">
        <v>1</v>
      </c>
      <c r="P295" s="3" t="b">
        <v>0</v>
      </c>
      <c r="Q295" s="3" t="b">
        <v>0</v>
      </c>
      <c r="R295" s="3" t="b">
        <v>0</v>
      </c>
      <c r="S295" s="3" t="b">
        <v>0</v>
      </c>
      <c r="T295">
        <v>1537</v>
      </c>
      <c r="U295">
        <v>55594</v>
      </c>
      <c r="V295">
        <v>1</v>
      </c>
      <c r="W295">
        <v>4669</v>
      </c>
      <c r="X295">
        <v>4668</v>
      </c>
    </row>
    <row r="296" spans="1:24" x14ac:dyDescent="0.2">
      <c r="A296" t="s">
        <v>1421</v>
      </c>
      <c r="B296" t="s">
        <v>31</v>
      </c>
      <c r="C296" t="s">
        <v>1422</v>
      </c>
      <c r="G296" t="s">
        <v>159</v>
      </c>
      <c r="H296" t="s">
        <v>160</v>
      </c>
      <c r="I296" t="s">
        <v>161</v>
      </c>
      <c r="J296" t="s">
        <v>29</v>
      </c>
      <c r="K296" s="3" t="b">
        <v>1</v>
      </c>
      <c r="L296" s="3" t="b">
        <v>1</v>
      </c>
      <c r="M296" s="3" t="b">
        <v>0</v>
      </c>
      <c r="N296" s="3" t="b">
        <v>1</v>
      </c>
      <c r="O296" s="3" t="b">
        <v>0</v>
      </c>
      <c r="P296" s="3" t="b">
        <v>0</v>
      </c>
      <c r="Q296" s="3" t="b">
        <v>0</v>
      </c>
      <c r="R296" s="3" t="b">
        <v>0</v>
      </c>
      <c r="S296" s="3" t="b">
        <v>0</v>
      </c>
      <c r="T296">
        <v>4320</v>
      </c>
      <c r="U296">
        <v>255891</v>
      </c>
      <c r="V296">
        <v>1</v>
      </c>
      <c r="W296">
        <v>15257</v>
      </c>
      <c r="X296">
        <v>15256</v>
      </c>
    </row>
    <row r="297" spans="1:24" x14ac:dyDescent="0.2">
      <c r="A297" t="s">
        <v>1423</v>
      </c>
      <c r="B297" t="s">
        <v>24</v>
      </c>
      <c r="C297" t="s">
        <v>189</v>
      </c>
      <c r="G297" t="s">
        <v>1424</v>
      </c>
      <c r="H297" t="s">
        <v>1425</v>
      </c>
      <c r="I297" t="s">
        <v>1426</v>
      </c>
      <c r="J297" t="s">
        <v>1427</v>
      </c>
      <c r="K297" s="3" t="b">
        <v>1</v>
      </c>
      <c r="L297" s="3" t="b">
        <v>1</v>
      </c>
      <c r="M297" s="3" t="b">
        <v>0</v>
      </c>
      <c r="N297" s="3" t="b">
        <v>1</v>
      </c>
      <c r="O297" s="3" t="b">
        <v>1</v>
      </c>
      <c r="P297" s="3" t="b">
        <v>0</v>
      </c>
      <c r="Q297" s="3" t="b">
        <v>0</v>
      </c>
      <c r="R297" s="3" t="b">
        <v>0</v>
      </c>
      <c r="S297" s="3" t="b">
        <v>0</v>
      </c>
      <c r="T297">
        <v>847</v>
      </c>
      <c r="U297">
        <v>28453</v>
      </c>
      <c r="V297">
        <v>1</v>
      </c>
      <c r="W297">
        <v>2500</v>
      </c>
      <c r="X297">
        <v>2499</v>
      </c>
    </row>
    <row r="298" spans="1:24" x14ac:dyDescent="0.2">
      <c r="A298" t="s">
        <v>1428</v>
      </c>
      <c r="B298" t="s">
        <v>31</v>
      </c>
      <c r="C298" t="s">
        <v>1429</v>
      </c>
      <c r="G298" t="s">
        <v>1430</v>
      </c>
      <c r="H298" t="s">
        <v>1431</v>
      </c>
      <c r="I298" t="s">
        <v>1432</v>
      </c>
      <c r="J298" t="s">
        <v>29</v>
      </c>
      <c r="K298" s="3" t="b">
        <v>1</v>
      </c>
      <c r="L298" s="3" t="b">
        <v>0</v>
      </c>
      <c r="M298" s="3" t="b">
        <v>0</v>
      </c>
      <c r="N298" s="3" t="b">
        <v>0</v>
      </c>
      <c r="O298" s="3" t="b">
        <v>0</v>
      </c>
      <c r="P298" s="3" t="b">
        <v>0</v>
      </c>
      <c r="Q298" s="3" t="b">
        <v>0</v>
      </c>
      <c r="R298" s="3" t="b">
        <v>0</v>
      </c>
      <c r="S298" s="3" t="b">
        <v>0</v>
      </c>
      <c r="T298">
        <v>189</v>
      </c>
      <c r="U298">
        <v>9673</v>
      </c>
      <c r="V298">
        <v>1</v>
      </c>
      <c r="W298">
        <v>723</v>
      </c>
      <c r="X298">
        <v>720</v>
      </c>
    </row>
    <row r="299" spans="1:24" x14ac:dyDescent="0.2">
      <c r="A299" t="s">
        <v>1433</v>
      </c>
      <c r="B299" t="s">
        <v>58</v>
      </c>
      <c r="C299" t="s">
        <v>1434</v>
      </c>
      <c r="D299" t="s">
        <v>1435</v>
      </c>
      <c r="G299" t="s">
        <v>1436</v>
      </c>
      <c r="H299" t="s">
        <v>1437</v>
      </c>
      <c r="I299" t="s">
        <v>1438</v>
      </c>
      <c r="J299" t="s">
        <v>91</v>
      </c>
      <c r="K299" s="3" t="b">
        <v>1</v>
      </c>
      <c r="L299" s="3" t="b">
        <v>1</v>
      </c>
      <c r="M299" s="3" t="b">
        <v>0</v>
      </c>
      <c r="N299" s="3" t="b">
        <v>1</v>
      </c>
      <c r="O299" s="3" t="b">
        <v>1</v>
      </c>
      <c r="P299" s="3" t="b">
        <v>0</v>
      </c>
      <c r="Q299" s="3" t="b">
        <v>0</v>
      </c>
      <c r="R299" s="3" t="b">
        <v>0</v>
      </c>
      <c r="S299" s="3" t="b">
        <v>0</v>
      </c>
      <c r="T299">
        <v>120</v>
      </c>
      <c r="U299">
        <v>7782</v>
      </c>
      <c r="V299">
        <v>1</v>
      </c>
      <c r="W299">
        <v>674</v>
      </c>
      <c r="X299">
        <v>672</v>
      </c>
    </row>
    <row r="300" spans="1:24" x14ac:dyDescent="0.2">
      <c r="A300" t="s">
        <v>1439</v>
      </c>
      <c r="B300" t="s">
        <v>24</v>
      </c>
      <c r="C300" t="s">
        <v>394</v>
      </c>
      <c r="G300" t="s">
        <v>72</v>
      </c>
      <c r="H300" t="s">
        <v>73</v>
      </c>
      <c r="I300" t="s">
        <v>74</v>
      </c>
      <c r="J300" t="s">
        <v>29</v>
      </c>
      <c r="K300" s="3" t="b">
        <v>1</v>
      </c>
      <c r="L300" s="3" t="b">
        <v>1</v>
      </c>
      <c r="M300" s="3" t="b">
        <v>1</v>
      </c>
      <c r="N300" s="3" t="b">
        <v>1</v>
      </c>
      <c r="O300" s="3" t="b">
        <v>1</v>
      </c>
      <c r="P300" s="3" t="b">
        <v>0</v>
      </c>
      <c r="Q300" s="3" t="b">
        <v>0</v>
      </c>
      <c r="R300" s="3" t="b">
        <v>0</v>
      </c>
      <c r="S300" s="3" t="b">
        <v>0</v>
      </c>
      <c r="T300">
        <v>870</v>
      </c>
      <c r="U300">
        <v>29747</v>
      </c>
      <c r="V300">
        <v>1</v>
      </c>
      <c r="W300">
        <v>2551</v>
      </c>
      <c r="X300">
        <v>2550</v>
      </c>
    </row>
    <row r="301" spans="1:24" x14ac:dyDescent="0.2">
      <c r="A301" t="s">
        <v>1440</v>
      </c>
      <c r="B301" t="s">
        <v>51</v>
      </c>
      <c r="C301" t="s">
        <v>1441</v>
      </c>
      <c r="E301" t="s">
        <v>1286</v>
      </c>
      <c r="G301" t="s">
        <v>1442</v>
      </c>
      <c r="H301" t="s">
        <v>1443</v>
      </c>
      <c r="I301" t="s">
        <v>1444</v>
      </c>
      <c r="J301" t="s">
        <v>29</v>
      </c>
      <c r="K301" s="3" t="b">
        <v>1</v>
      </c>
      <c r="L301" s="3" t="b">
        <v>1</v>
      </c>
      <c r="M301" s="3" t="b">
        <v>0</v>
      </c>
      <c r="N301" s="3" t="b">
        <v>1</v>
      </c>
      <c r="O301" s="3" t="b">
        <v>1</v>
      </c>
      <c r="P301" s="3" t="b">
        <v>0</v>
      </c>
      <c r="Q301" s="3" t="b">
        <v>0</v>
      </c>
      <c r="R301" s="3" t="b">
        <v>0</v>
      </c>
      <c r="S301" s="3" t="b">
        <v>1</v>
      </c>
      <c r="T301">
        <v>3090</v>
      </c>
      <c r="U301">
        <v>101373</v>
      </c>
      <c r="V301">
        <v>1</v>
      </c>
      <c r="W301">
        <v>8979</v>
      </c>
      <c r="X301">
        <v>8977</v>
      </c>
    </row>
    <row r="302" spans="1:24" x14ac:dyDescent="0.2">
      <c r="A302" t="s">
        <v>1445</v>
      </c>
      <c r="B302" t="s">
        <v>58</v>
      </c>
      <c r="C302" t="s">
        <v>1446</v>
      </c>
      <c r="G302" t="s">
        <v>77</v>
      </c>
      <c r="H302" t="s">
        <v>78</v>
      </c>
      <c r="I302" t="s">
        <v>79</v>
      </c>
      <c r="J302" t="s">
        <v>29</v>
      </c>
      <c r="K302" s="3" t="b">
        <v>1</v>
      </c>
      <c r="L302" s="3" t="b">
        <v>1</v>
      </c>
      <c r="M302" s="3" t="b">
        <v>0</v>
      </c>
      <c r="N302" s="3" t="b">
        <v>1</v>
      </c>
      <c r="O302" s="3" t="b">
        <v>1</v>
      </c>
      <c r="P302" s="3" t="b">
        <v>0</v>
      </c>
      <c r="Q302" s="3" t="b">
        <v>0</v>
      </c>
      <c r="R302" s="3" t="b">
        <v>0</v>
      </c>
      <c r="S302" s="3" t="b">
        <v>0</v>
      </c>
      <c r="T302">
        <v>2932</v>
      </c>
      <c r="U302">
        <v>99225</v>
      </c>
      <c r="V302">
        <v>1</v>
      </c>
      <c r="W302">
        <v>8625</v>
      </c>
      <c r="X302">
        <v>8624</v>
      </c>
    </row>
    <row r="303" spans="1:24" x14ac:dyDescent="0.2">
      <c r="A303" t="s">
        <v>1447</v>
      </c>
      <c r="B303" t="s">
        <v>24</v>
      </c>
      <c r="C303" t="s">
        <v>1448</v>
      </c>
      <c r="G303" t="s">
        <v>749</v>
      </c>
      <c r="H303" t="s">
        <v>750</v>
      </c>
      <c r="I303" t="s">
        <v>79</v>
      </c>
      <c r="J303" t="s">
        <v>29</v>
      </c>
      <c r="K303" s="3" t="b">
        <v>1</v>
      </c>
      <c r="L303" s="3" t="b">
        <v>1</v>
      </c>
      <c r="M303" s="3" t="b">
        <v>0</v>
      </c>
      <c r="N303" s="3" t="b">
        <v>1</v>
      </c>
      <c r="O303" s="3" t="b">
        <v>0</v>
      </c>
      <c r="P303" s="3" t="b">
        <v>0</v>
      </c>
      <c r="Q303" s="3" t="b">
        <v>0</v>
      </c>
      <c r="R303" s="3" t="b">
        <v>0</v>
      </c>
      <c r="S303" s="3" t="b">
        <v>0</v>
      </c>
      <c r="T303">
        <v>2932</v>
      </c>
      <c r="U303">
        <v>99225</v>
      </c>
      <c r="V303">
        <v>1</v>
      </c>
      <c r="W303">
        <v>8625</v>
      </c>
      <c r="X303">
        <v>8624</v>
      </c>
    </row>
    <row r="304" spans="1:24" x14ac:dyDescent="0.2">
      <c r="A304" t="s">
        <v>1449</v>
      </c>
      <c r="B304" t="s">
        <v>51</v>
      </c>
      <c r="C304" t="s">
        <v>1450</v>
      </c>
      <c r="E304" t="s">
        <v>1451</v>
      </c>
      <c r="G304" t="s">
        <v>1452</v>
      </c>
      <c r="H304" t="s">
        <v>1453</v>
      </c>
      <c r="I304" t="s">
        <v>948</v>
      </c>
      <c r="J304" t="s">
        <v>949</v>
      </c>
      <c r="K304" s="3" t="b">
        <v>1</v>
      </c>
      <c r="L304" s="3" t="b">
        <v>1</v>
      </c>
      <c r="M304" s="3" t="b">
        <v>0</v>
      </c>
      <c r="N304" s="3" t="b">
        <v>1</v>
      </c>
      <c r="O304" s="3" t="b">
        <v>1</v>
      </c>
      <c r="P304" s="3" t="b">
        <v>0</v>
      </c>
      <c r="Q304" s="3" t="b">
        <v>0</v>
      </c>
      <c r="R304" s="3" t="b">
        <v>0</v>
      </c>
      <c r="S304" s="3" t="b">
        <v>0</v>
      </c>
      <c r="T304">
        <v>4004</v>
      </c>
      <c r="U304">
        <v>211152</v>
      </c>
      <c r="V304">
        <v>1</v>
      </c>
      <c r="W304">
        <v>14479</v>
      </c>
      <c r="X304">
        <v>14478</v>
      </c>
    </row>
    <row r="305" spans="1:24" x14ac:dyDescent="0.2">
      <c r="A305" t="s">
        <v>1454</v>
      </c>
      <c r="B305" t="s">
        <v>24</v>
      </c>
      <c r="C305" t="s">
        <v>405</v>
      </c>
      <c r="F305" t="s">
        <v>1265</v>
      </c>
      <c r="G305" t="s">
        <v>1455</v>
      </c>
      <c r="H305" t="s">
        <v>1456</v>
      </c>
      <c r="I305" t="s">
        <v>1457</v>
      </c>
      <c r="J305" t="s">
        <v>29</v>
      </c>
      <c r="K305" s="3" t="b">
        <v>1</v>
      </c>
      <c r="L305" s="3" t="b">
        <v>1</v>
      </c>
      <c r="M305" s="3" t="b">
        <v>0</v>
      </c>
      <c r="N305" s="3" t="b">
        <v>1</v>
      </c>
      <c r="O305" s="3" t="b">
        <v>0</v>
      </c>
      <c r="P305" s="3" t="b">
        <v>0</v>
      </c>
      <c r="Q305" s="3" t="b">
        <v>0</v>
      </c>
      <c r="R305" s="3" t="b">
        <v>0</v>
      </c>
      <c r="S305" s="3" t="b">
        <v>0</v>
      </c>
      <c r="T305">
        <v>3483</v>
      </c>
      <c r="U305">
        <v>130563</v>
      </c>
      <c r="V305">
        <v>1</v>
      </c>
      <c r="W305">
        <v>12418</v>
      </c>
      <c r="X305">
        <v>12417</v>
      </c>
    </row>
    <row r="306" spans="1:24" x14ac:dyDescent="0.2">
      <c r="A306" t="s">
        <v>1458</v>
      </c>
      <c r="B306" t="s">
        <v>24</v>
      </c>
      <c r="C306" t="s">
        <v>222</v>
      </c>
      <c r="D306" t="s">
        <v>1459</v>
      </c>
      <c r="F306" t="s">
        <v>1460</v>
      </c>
      <c r="G306" t="s">
        <v>1461</v>
      </c>
      <c r="H306" t="s">
        <v>1462</v>
      </c>
      <c r="I306" t="s">
        <v>1463</v>
      </c>
      <c r="J306" t="s">
        <v>91</v>
      </c>
      <c r="K306" s="3" t="b">
        <v>1</v>
      </c>
      <c r="L306" s="3" t="b">
        <v>1</v>
      </c>
      <c r="M306" s="3" t="b">
        <v>0</v>
      </c>
      <c r="N306" s="3" t="b">
        <v>1</v>
      </c>
      <c r="O306" s="3" t="b">
        <v>0</v>
      </c>
      <c r="P306" s="3" t="b">
        <v>0</v>
      </c>
      <c r="Q306" s="3" t="b">
        <v>0</v>
      </c>
      <c r="R306" s="3" t="b">
        <v>0</v>
      </c>
      <c r="S306" s="3" t="b">
        <v>1</v>
      </c>
      <c r="T306">
        <v>3734</v>
      </c>
      <c r="U306">
        <v>162404</v>
      </c>
      <c r="V306">
        <v>1</v>
      </c>
      <c r="W306">
        <v>13313</v>
      </c>
      <c r="X306">
        <v>13312</v>
      </c>
    </row>
    <row r="307" spans="1:24" x14ac:dyDescent="0.2">
      <c r="A307" t="s">
        <v>1464</v>
      </c>
      <c r="B307" t="s">
        <v>58</v>
      </c>
      <c r="C307" t="s">
        <v>208</v>
      </c>
      <c r="G307" t="s">
        <v>426</v>
      </c>
      <c r="H307" t="s">
        <v>427</v>
      </c>
      <c r="I307" t="s">
        <v>428</v>
      </c>
      <c r="J307" t="s">
        <v>429</v>
      </c>
      <c r="K307" s="3" t="b">
        <v>1</v>
      </c>
      <c r="L307" s="3" t="b">
        <v>1</v>
      </c>
      <c r="M307" s="3" t="b">
        <v>0</v>
      </c>
      <c r="N307" s="3" t="b">
        <v>1</v>
      </c>
      <c r="O307" s="3" t="b">
        <v>1</v>
      </c>
      <c r="P307" s="3" t="b">
        <v>0</v>
      </c>
      <c r="Q307" s="3" t="b">
        <v>0</v>
      </c>
      <c r="R307" s="3" t="b">
        <v>0</v>
      </c>
      <c r="S307" s="3" t="b">
        <v>1</v>
      </c>
      <c r="T307">
        <v>1676</v>
      </c>
      <c r="U307">
        <v>56906</v>
      </c>
      <c r="V307">
        <v>1</v>
      </c>
      <c r="W307">
        <v>4982</v>
      </c>
      <c r="X307">
        <v>4981</v>
      </c>
    </row>
    <row r="308" spans="1:24" x14ac:dyDescent="0.2">
      <c r="A308" t="s">
        <v>1465</v>
      </c>
      <c r="B308" t="s">
        <v>31</v>
      </c>
      <c r="C308" t="s">
        <v>484</v>
      </c>
      <c r="G308" t="s">
        <v>1466</v>
      </c>
      <c r="H308" t="s">
        <v>1467</v>
      </c>
      <c r="I308" t="s">
        <v>1468</v>
      </c>
      <c r="J308" t="s">
        <v>1469</v>
      </c>
      <c r="K308" s="3" t="b">
        <v>1</v>
      </c>
      <c r="L308" s="3" t="b">
        <v>1</v>
      </c>
      <c r="M308" s="3" t="b">
        <v>0</v>
      </c>
      <c r="N308" s="3" t="b">
        <v>1</v>
      </c>
      <c r="O308" s="3" t="b">
        <v>0</v>
      </c>
      <c r="P308" s="3" t="b">
        <v>0</v>
      </c>
      <c r="Q308" s="3" t="b">
        <v>0</v>
      </c>
      <c r="R308" s="3" t="b">
        <v>0</v>
      </c>
      <c r="S308" s="3" t="b">
        <v>0</v>
      </c>
      <c r="T308">
        <v>1678</v>
      </c>
      <c r="U308">
        <v>56906</v>
      </c>
      <c r="V308">
        <v>1</v>
      </c>
      <c r="W308">
        <v>4980</v>
      </c>
      <c r="X308">
        <v>4979</v>
      </c>
    </row>
    <row r="309" spans="1:24" x14ac:dyDescent="0.2">
      <c r="A309" t="s">
        <v>1470</v>
      </c>
      <c r="B309" t="s">
        <v>24</v>
      </c>
      <c r="C309" t="s">
        <v>1471</v>
      </c>
      <c r="G309" t="s">
        <v>1472</v>
      </c>
      <c r="H309" t="s">
        <v>1473</v>
      </c>
      <c r="I309" t="s">
        <v>1474</v>
      </c>
      <c r="J309" t="s">
        <v>29</v>
      </c>
      <c r="K309" s="3" t="b">
        <v>1</v>
      </c>
      <c r="L309" s="3" t="b">
        <v>0</v>
      </c>
      <c r="M309" s="3" t="b">
        <v>0</v>
      </c>
      <c r="N309" s="3" t="b">
        <v>0</v>
      </c>
      <c r="O309" s="3" t="b">
        <v>0</v>
      </c>
      <c r="P309" s="3" t="b">
        <v>0</v>
      </c>
      <c r="Q309" s="3" t="b">
        <v>0</v>
      </c>
      <c r="R309" s="3" t="b">
        <v>0</v>
      </c>
      <c r="S309" s="3" t="b">
        <v>0</v>
      </c>
      <c r="T309">
        <v>4054</v>
      </c>
      <c r="U309">
        <v>218108</v>
      </c>
      <c r="V309">
        <v>1</v>
      </c>
      <c r="W309">
        <v>14604</v>
      </c>
      <c r="X309">
        <v>14603</v>
      </c>
    </row>
    <row r="310" spans="1:24" x14ac:dyDescent="0.2">
      <c r="A310" t="s">
        <v>1475</v>
      </c>
      <c r="B310" t="s">
        <v>58</v>
      </c>
      <c r="C310" t="s">
        <v>1476</v>
      </c>
      <c r="G310" t="s">
        <v>1477</v>
      </c>
      <c r="H310" t="s">
        <v>1478</v>
      </c>
      <c r="I310" t="s">
        <v>1479</v>
      </c>
      <c r="J310" t="s">
        <v>1480</v>
      </c>
      <c r="K310" s="3" t="b">
        <v>1</v>
      </c>
      <c r="L310" s="3" t="b">
        <v>0</v>
      </c>
      <c r="M310" s="3" t="b">
        <v>0</v>
      </c>
      <c r="N310" s="3" t="b">
        <v>0</v>
      </c>
      <c r="O310" s="3" t="b">
        <v>0</v>
      </c>
      <c r="P310" s="3" t="b">
        <v>0</v>
      </c>
      <c r="Q310" s="3" t="b">
        <v>0</v>
      </c>
      <c r="R310" s="3" t="b">
        <v>0</v>
      </c>
      <c r="S310" s="3" t="b">
        <v>0</v>
      </c>
      <c r="T310">
        <v>1240</v>
      </c>
      <c r="U310">
        <v>48282</v>
      </c>
      <c r="V310">
        <v>1</v>
      </c>
      <c r="W310">
        <v>3408</v>
      </c>
      <c r="X310">
        <v>3407</v>
      </c>
    </row>
    <row r="311" spans="1:24" x14ac:dyDescent="0.2">
      <c r="A311" t="s">
        <v>1481</v>
      </c>
      <c r="B311" t="s">
        <v>58</v>
      </c>
      <c r="C311" t="s">
        <v>1482</v>
      </c>
      <c r="D311" t="s">
        <v>741</v>
      </c>
      <c r="G311" t="s">
        <v>1483</v>
      </c>
      <c r="H311" t="s">
        <v>1484</v>
      </c>
      <c r="I311" t="s">
        <v>1485</v>
      </c>
      <c r="J311" t="s">
        <v>1486</v>
      </c>
      <c r="K311" s="3" t="b">
        <v>1</v>
      </c>
      <c r="L311" s="3" t="b">
        <v>1</v>
      </c>
      <c r="M311" s="3" t="b">
        <v>1</v>
      </c>
      <c r="N311" s="3" t="b">
        <v>1</v>
      </c>
      <c r="O311" s="3" t="b">
        <v>1</v>
      </c>
      <c r="P311" s="3" t="b">
        <v>1</v>
      </c>
      <c r="Q311" s="3" t="b">
        <v>0</v>
      </c>
      <c r="R311" s="3" t="b">
        <v>0</v>
      </c>
      <c r="S311" s="3" t="b">
        <v>1</v>
      </c>
      <c r="T311">
        <v>93</v>
      </c>
      <c r="U311">
        <v>6567</v>
      </c>
      <c r="V311">
        <v>1</v>
      </c>
      <c r="W311">
        <v>296</v>
      </c>
      <c r="X311">
        <v>295</v>
      </c>
    </row>
    <row r="312" spans="1:24" x14ac:dyDescent="0.2">
      <c r="A312" t="s">
        <v>1487</v>
      </c>
      <c r="B312" t="s">
        <v>58</v>
      </c>
      <c r="C312" t="s">
        <v>928</v>
      </c>
      <c r="D312" t="s">
        <v>1488</v>
      </c>
      <c r="G312" t="s">
        <v>77</v>
      </c>
      <c r="H312" t="s">
        <v>78</v>
      </c>
      <c r="I312" t="s">
        <v>79</v>
      </c>
      <c r="J312" t="s">
        <v>91</v>
      </c>
      <c r="K312" s="3" t="b">
        <v>1</v>
      </c>
      <c r="L312" s="3" t="b">
        <v>1</v>
      </c>
      <c r="M312" s="3" t="b">
        <v>0</v>
      </c>
      <c r="N312" s="3" t="b">
        <v>1</v>
      </c>
      <c r="O312" s="3" t="b">
        <v>0</v>
      </c>
      <c r="P312" s="3" t="b">
        <v>0</v>
      </c>
      <c r="Q312" s="3" t="b">
        <v>0</v>
      </c>
      <c r="R312" s="3" t="b">
        <v>0</v>
      </c>
      <c r="S312" s="3" t="b">
        <v>0</v>
      </c>
      <c r="T312">
        <v>2932</v>
      </c>
      <c r="U312">
        <v>99225</v>
      </c>
      <c r="V312">
        <v>1</v>
      </c>
      <c r="W312">
        <v>8625</v>
      </c>
      <c r="X312">
        <v>8624</v>
      </c>
    </row>
    <row r="313" spans="1:24" x14ac:dyDescent="0.2">
      <c r="A313" t="s">
        <v>1489</v>
      </c>
      <c r="B313" t="s">
        <v>24</v>
      </c>
      <c r="C313" t="s">
        <v>1490</v>
      </c>
      <c r="F313" t="s">
        <v>1491</v>
      </c>
      <c r="G313" t="s">
        <v>129</v>
      </c>
      <c r="H313" t="s">
        <v>130</v>
      </c>
      <c r="I313" t="s">
        <v>131</v>
      </c>
      <c r="J313" t="s">
        <v>29</v>
      </c>
      <c r="K313" s="3" t="b">
        <v>1</v>
      </c>
      <c r="L313" s="3" t="b">
        <v>1</v>
      </c>
      <c r="M313" s="3" t="b">
        <v>0</v>
      </c>
      <c r="N313" s="3" t="b">
        <v>1</v>
      </c>
      <c r="O313" s="3" t="b">
        <v>0</v>
      </c>
      <c r="P313" s="3" t="b">
        <v>0</v>
      </c>
      <c r="Q313" s="3" t="b">
        <v>0</v>
      </c>
      <c r="R313" s="3" t="b">
        <v>0</v>
      </c>
      <c r="S313" s="3" t="b">
        <v>0</v>
      </c>
      <c r="T313">
        <v>931</v>
      </c>
      <c r="U313">
        <v>34392</v>
      </c>
      <c r="V313">
        <v>1</v>
      </c>
      <c r="W313">
        <v>2655</v>
      </c>
      <c r="X313">
        <v>2654</v>
      </c>
    </row>
    <row r="314" spans="1:24" x14ac:dyDescent="0.2">
      <c r="A314" t="s">
        <v>1492</v>
      </c>
      <c r="B314" t="s">
        <v>24</v>
      </c>
      <c r="C314" t="s">
        <v>1493</v>
      </c>
      <c r="D314" t="s">
        <v>1494</v>
      </c>
      <c r="F314" t="s">
        <v>1495</v>
      </c>
      <c r="G314" t="s">
        <v>1496</v>
      </c>
      <c r="H314" t="s">
        <v>1497</v>
      </c>
      <c r="I314" t="s">
        <v>174</v>
      </c>
      <c r="J314" t="s">
        <v>91</v>
      </c>
      <c r="K314" s="3" t="b">
        <v>1</v>
      </c>
      <c r="L314" s="3" t="b">
        <v>0</v>
      </c>
      <c r="M314" s="3" t="b">
        <v>0</v>
      </c>
      <c r="N314" s="3" t="b">
        <v>0</v>
      </c>
      <c r="O314" s="3" t="b">
        <v>0</v>
      </c>
      <c r="P314" s="3" t="b">
        <v>0</v>
      </c>
      <c r="Q314" s="3" t="b">
        <v>0</v>
      </c>
      <c r="R314" s="3" t="b">
        <v>0</v>
      </c>
      <c r="S314" s="3" t="b">
        <v>0</v>
      </c>
      <c r="T314">
        <v>406</v>
      </c>
      <c r="U314">
        <v>16876</v>
      </c>
      <c r="V314">
        <v>1</v>
      </c>
      <c r="W314">
        <v>1452</v>
      </c>
      <c r="X314">
        <v>1451</v>
      </c>
    </row>
    <row r="315" spans="1:24" x14ac:dyDescent="0.2">
      <c r="A315" t="s">
        <v>1498</v>
      </c>
      <c r="B315" t="s">
        <v>51</v>
      </c>
      <c r="C315" t="s">
        <v>1499</v>
      </c>
      <c r="D315" t="s">
        <v>1500</v>
      </c>
      <c r="E315" t="s">
        <v>759</v>
      </c>
      <c r="G315" t="s">
        <v>1501</v>
      </c>
      <c r="H315" t="s">
        <v>1502</v>
      </c>
      <c r="I315" t="s">
        <v>1503</v>
      </c>
      <c r="J315" t="s">
        <v>1504</v>
      </c>
      <c r="K315" s="3" t="b">
        <v>1</v>
      </c>
      <c r="L315" s="3" t="b">
        <v>0</v>
      </c>
      <c r="M315" s="3" t="b">
        <v>0</v>
      </c>
      <c r="N315" s="3" t="b">
        <v>0</v>
      </c>
      <c r="O315" s="3" t="b">
        <v>0</v>
      </c>
      <c r="P315" s="3" t="b">
        <v>0</v>
      </c>
      <c r="Q315" s="3" t="b">
        <v>0</v>
      </c>
      <c r="R315" s="3" t="b">
        <v>0</v>
      </c>
      <c r="S315" s="3" t="b">
        <v>0</v>
      </c>
      <c r="T315">
        <v>547</v>
      </c>
      <c r="U315">
        <v>20474</v>
      </c>
      <c r="V315">
        <v>1</v>
      </c>
      <c r="W315">
        <v>1717</v>
      </c>
      <c r="X315">
        <v>1716</v>
      </c>
    </row>
    <row r="316" spans="1:24" x14ac:dyDescent="0.2">
      <c r="A316" t="s">
        <v>1505</v>
      </c>
      <c r="B316" t="s">
        <v>58</v>
      </c>
      <c r="C316" t="s">
        <v>1016</v>
      </c>
      <c r="G316" t="s">
        <v>1506</v>
      </c>
      <c r="H316" t="s">
        <v>1507</v>
      </c>
      <c r="I316" t="s">
        <v>1508</v>
      </c>
      <c r="J316" t="s">
        <v>1509</v>
      </c>
      <c r="K316" s="3" t="b">
        <v>1</v>
      </c>
      <c r="L316" s="3" t="b">
        <v>0</v>
      </c>
      <c r="M316" s="3" t="b">
        <v>0</v>
      </c>
      <c r="N316" s="3" t="b">
        <v>0</v>
      </c>
      <c r="O316" s="3" t="b">
        <v>0</v>
      </c>
      <c r="P316" s="3" t="b">
        <v>0</v>
      </c>
      <c r="Q316" s="3" t="b">
        <v>0</v>
      </c>
      <c r="R316" s="3" t="b">
        <v>0</v>
      </c>
      <c r="S316" s="3" t="b">
        <v>0</v>
      </c>
      <c r="T316">
        <v>846</v>
      </c>
      <c r="U316">
        <v>28453</v>
      </c>
      <c r="V316">
        <v>1</v>
      </c>
      <c r="W316">
        <v>2501</v>
      </c>
      <c r="X316">
        <v>2500</v>
      </c>
    </row>
    <row r="317" spans="1:24" x14ac:dyDescent="0.2">
      <c r="A317" t="s">
        <v>1510</v>
      </c>
      <c r="B317" t="s">
        <v>51</v>
      </c>
      <c r="C317" t="s">
        <v>1250</v>
      </c>
      <c r="D317" t="s">
        <v>1511</v>
      </c>
      <c r="E317" t="s">
        <v>1252</v>
      </c>
      <c r="G317" t="s">
        <v>1512</v>
      </c>
      <c r="H317" t="s">
        <v>1513</v>
      </c>
      <c r="I317" t="s">
        <v>1514</v>
      </c>
      <c r="J317" t="s">
        <v>91</v>
      </c>
      <c r="K317" s="3" t="b">
        <v>1</v>
      </c>
      <c r="L317" s="3" t="b">
        <v>1</v>
      </c>
      <c r="M317" s="3" t="b">
        <v>0</v>
      </c>
      <c r="N317" s="3" t="b">
        <v>1</v>
      </c>
      <c r="O317" s="3" t="b">
        <v>0</v>
      </c>
      <c r="P317" s="3" t="b">
        <v>0</v>
      </c>
      <c r="Q317" s="3" t="b">
        <v>0</v>
      </c>
      <c r="R317" s="3" t="b">
        <v>0</v>
      </c>
      <c r="S317" s="3" t="b">
        <v>0</v>
      </c>
      <c r="T317">
        <v>3680</v>
      </c>
      <c r="U317">
        <v>157024</v>
      </c>
      <c r="V317">
        <v>1</v>
      </c>
      <c r="W317">
        <v>13253</v>
      </c>
      <c r="X317">
        <v>13252</v>
      </c>
    </row>
    <row r="318" spans="1:24" x14ac:dyDescent="0.2">
      <c r="A318" t="s">
        <v>1515</v>
      </c>
      <c r="B318" t="s">
        <v>24</v>
      </c>
      <c r="C318" t="s">
        <v>868</v>
      </c>
      <c r="G318" t="s">
        <v>585</v>
      </c>
      <c r="H318" t="s">
        <v>586</v>
      </c>
      <c r="I318" t="s">
        <v>587</v>
      </c>
      <c r="J318" t="s">
        <v>1516</v>
      </c>
      <c r="K318" s="3" t="b">
        <v>1</v>
      </c>
      <c r="L318" s="3" t="b">
        <v>1</v>
      </c>
      <c r="M318" s="3" t="b">
        <v>0</v>
      </c>
      <c r="N318" s="3" t="b">
        <v>1</v>
      </c>
      <c r="O318" s="3" t="b">
        <v>1</v>
      </c>
      <c r="P318" s="3" t="b">
        <v>0</v>
      </c>
      <c r="Q318" s="3" t="b">
        <v>0</v>
      </c>
      <c r="R318" s="3" t="b">
        <v>0</v>
      </c>
      <c r="S318" s="3" t="b">
        <v>1</v>
      </c>
      <c r="T318">
        <v>1133</v>
      </c>
      <c r="U318">
        <v>40772</v>
      </c>
      <c r="V318">
        <v>1</v>
      </c>
      <c r="W318">
        <v>2993</v>
      </c>
      <c r="X318">
        <v>2992</v>
      </c>
    </row>
    <row r="319" spans="1:24" x14ac:dyDescent="0.2">
      <c r="A319" t="s">
        <v>1517</v>
      </c>
      <c r="B319" t="s">
        <v>24</v>
      </c>
      <c r="C319" t="s">
        <v>287</v>
      </c>
      <c r="D319" t="s">
        <v>1518</v>
      </c>
      <c r="F319" t="s">
        <v>1519</v>
      </c>
      <c r="G319" t="s">
        <v>1520</v>
      </c>
      <c r="H319" t="s">
        <v>1521</v>
      </c>
      <c r="I319" t="s">
        <v>1522</v>
      </c>
      <c r="J319" t="s">
        <v>91</v>
      </c>
      <c r="K319" s="3" t="b">
        <v>1</v>
      </c>
      <c r="L319" s="3" t="b">
        <v>1</v>
      </c>
      <c r="M319" s="3" t="b">
        <v>0</v>
      </c>
      <c r="N319" s="3" t="b">
        <v>1</v>
      </c>
      <c r="O319" s="3" t="b">
        <v>0</v>
      </c>
      <c r="P319" s="3" t="b">
        <v>0</v>
      </c>
      <c r="Q319" s="3" t="b">
        <v>0</v>
      </c>
      <c r="R319" s="3" t="b">
        <v>0</v>
      </c>
      <c r="S319" s="3" t="b">
        <v>0</v>
      </c>
      <c r="T319">
        <v>1235</v>
      </c>
      <c r="U319">
        <v>46785</v>
      </c>
      <c r="V319">
        <v>1</v>
      </c>
      <c r="W319">
        <v>3369</v>
      </c>
      <c r="X319">
        <v>3368</v>
      </c>
    </row>
    <row r="320" spans="1:24" x14ac:dyDescent="0.2">
      <c r="A320" t="s">
        <v>1523</v>
      </c>
      <c r="B320" t="s">
        <v>31</v>
      </c>
      <c r="C320" t="s">
        <v>1292</v>
      </c>
      <c r="D320" t="s">
        <v>1524</v>
      </c>
      <c r="G320" t="s">
        <v>198</v>
      </c>
      <c r="H320" t="s">
        <v>199</v>
      </c>
      <c r="I320" t="s">
        <v>200</v>
      </c>
      <c r="J320" t="s">
        <v>201</v>
      </c>
      <c r="K320" s="3" t="b">
        <v>1</v>
      </c>
      <c r="L320" s="3" t="b">
        <v>0</v>
      </c>
      <c r="M320" s="3" t="b">
        <v>0</v>
      </c>
      <c r="N320" s="3" t="b">
        <v>0</v>
      </c>
      <c r="O320" s="3" t="b">
        <v>0</v>
      </c>
      <c r="P320" s="3" t="b">
        <v>0</v>
      </c>
      <c r="Q320" s="3" t="b">
        <v>0</v>
      </c>
      <c r="R320" s="3" t="b">
        <v>0</v>
      </c>
      <c r="S320" s="3" t="b">
        <v>0</v>
      </c>
      <c r="T320">
        <v>660</v>
      </c>
      <c r="U320">
        <v>21283</v>
      </c>
      <c r="V320">
        <v>24</v>
      </c>
      <c r="W320">
        <v>1852</v>
      </c>
      <c r="X320">
        <v>1851</v>
      </c>
    </row>
    <row r="321" spans="1:24" x14ac:dyDescent="0.2">
      <c r="A321" t="s">
        <v>1525</v>
      </c>
      <c r="B321" t="s">
        <v>24</v>
      </c>
      <c r="C321" t="s">
        <v>1526</v>
      </c>
      <c r="G321" t="s">
        <v>154</v>
      </c>
      <c r="H321" t="s">
        <v>155</v>
      </c>
      <c r="I321" t="s">
        <v>156</v>
      </c>
      <c r="J321" t="s">
        <v>29</v>
      </c>
      <c r="K321" s="3" t="b">
        <v>1</v>
      </c>
      <c r="L321" s="3" t="b">
        <v>1</v>
      </c>
      <c r="M321" s="3" t="b">
        <v>0</v>
      </c>
      <c r="N321" s="3" t="b">
        <v>1</v>
      </c>
      <c r="O321" s="3" t="b">
        <v>1</v>
      </c>
      <c r="P321" s="3" t="b">
        <v>0</v>
      </c>
      <c r="Q321" s="3" t="b">
        <v>0</v>
      </c>
      <c r="R321" s="3" t="b">
        <v>0</v>
      </c>
      <c r="S321" s="3" t="b">
        <v>0</v>
      </c>
      <c r="T321">
        <v>40</v>
      </c>
      <c r="U321">
        <v>2403</v>
      </c>
      <c r="V321">
        <v>1</v>
      </c>
      <c r="W321">
        <v>146</v>
      </c>
      <c r="X321">
        <v>145</v>
      </c>
    </row>
    <row r="322" spans="1:24" x14ac:dyDescent="0.2">
      <c r="A322" t="s">
        <v>1527</v>
      </c>
      <c r="B322" t="s">
        <v>31</v>
      </c>
      <c r="C322" t="s">
        <v>1528</v>
      </c>
      <c r="G322" t="s">
        <v>991</v>
      </c>
      <c r="H322" t="s">
        <v>992</v>
      </c>
      <c r="I322" t="s">
        <v>993</v>
      </c>
      <c r="J322" t="s">
        <v>91</v>
      </c>
      <c r="K322" s="3" t="b">
        <v>1</v>
      </c>
      <c r="L322" s="3" t="b">
        <v>0</v>
      </c>
      <c r="M322" s="3" t="b">
        <v>0</v>
      </c>
      <c r="N322" s="3" t="b">
        <v>0</v>
      </c>
      <c r="O322" s="3" t="b">
        <v>0</v>
      </c>
      <c r="P322" s="3" t="b">
        <v>0</v>
      </c>
      <c r="Q322" s="3" t="b">
        <v>0</v>
      </c>
      <c r="R322" s="3" t="b">
        <v>0</v>
      </c>
      <c r="S322" s="3" t="b">
        <v>0</v>
      </c>
      <c r="T322">
        <v>1778</v>
      </c>
      <c r="U322">
        <v>58507</v>
      </c>
      <c r="V322">
        <v>1</v>
      </c>
      <c r="W322">
        <v>5298</v>
      </c>
      <c r="X322">
        <v>5295</v>
      </c>
    </row>
    <row r="323" spans="1:24" x14ac:dyDescent="0.2">
      <c r="A323" t="s">
        <v>1529</v>
      </c>
      <c r="B323" t="s">
        <v>58</v>
      </c>
      <c r="C323" t="s">
        <v>1530</v>
      </c>
      <c r="G323" t="s">
        <v>1531</v>
      </c>
      <c r="H323" t="s">
        <v>1532</v>
      </c>
      <c r="I323" t="s">
        <v>672</v>
      </c>
      <c r="J323" t="s">
        <v>29</v>
      </c>
      <c r="K323" s="3" t="b">
        <v>1</v>
      </c>
      <c r="L323" s="3" t="b">
        <v>1</v>
      </c>
      <c r="M323" s="3" t="b">
        <v>0</v>
      </c>
      <c r="N323" s="3" t="b">
        <v>1</v>
      </c>
      <c r="O323" s="3" t="b">
        <v>0</v>
      </c>
      <c r="P323" s="3" t="b">
        <v>0</v>
      </c>
      <c r="Q323" s="3" t="b">
        <v>0</v>
      </c>
      <c r="R323" s="3" t="b">
        <v>0</v>
      </c>
      <c r="S323" s="3" t="b">
        <v>0</v>
      </c>
      <c r="T323">
        <v>1275</v>
      </c>
      <c r="U323">
        <v>48921</v>
      </c>
      <c r="V323">
        <v>5</v>
      </c>
      <c r="W323">
        <v>3440</v>
      </c>
      <c r="X323">
        <v>3439</v>
      </c>
    </row>
    <row r="324" spans="1:24" x14ac:dyDescent="0.2">
      <c r="A324" t="s">
        <v>1533</v>
      </c>
      <c r="B324" t="s">
        <v>58</v>
      </c>
      <c r="C324" t="s">
        <v>1064</v>
      </c>
      <c r="D324" t="s">
        <v>1534</v>
      </c>
      <c r="G324" t="s">
        <v>1535</v>
      </c>
      <c r="H324" t="s">
        <v>1536</v>
      </c>
      <c r="I324" t="s">
        <v>871</v>
      </c>
      <c r="J324" t="s">
        <v>872</v>
      </c>
      <c r="K324" s="3" t="b">
        <v>1</v>
      </c>
      <c r="L324" s="3" t="b">
        <v>1</v>
      </c>
      <c r="M324" s="3" t="b">
        <v>0</v>
      </c>
      <c r="N324" s="3" t="b">
        <v>1</v>
      </c>
      <c r="O324" s="3" t="b">
        <v>1</v>
      </c>
      <c r="P324" s="3" t="b">
        <v>0</v>
      </c>
      <c r="Q324" s="3" t="b">
        <v>0</v>
      </c>
      <c r="R324" s="3" t="b">
        <v>0</v>
      </c>
      <c r="S324" s="3" t="b">
        <v>0</v>
      </c>
      <c r="T324">
        <v>92</v>
      </c>
      <c r="U324">
        <v>6567</v>
      </c>
      <c r="V324">
        <v>1</v>
      </c>
      <c r="W324">
        <v>297</v>
      </c>
      <c r="X324">
        <v>296</v>
      </c>
    </row>
    <row r="325" spans="1:24" x14ac:dyDescent="0.2">
      <c r="A325" t="s">
        <v>1537</v>
      </c>
      <c r="B325" t="s">
        <v>58</v>
      </c>
      <c r="C325" t="s">
        <v>1538</v>
      </c>
      <c r="D325">
        <f>10</f>
        <v>10</v>
      </c>
      <c r="G325" t="s">
        <v>72</v>
      </c>
      <c r="H325" t="s">
        <v>73</v>
      </c>
      <c r="I325" t="s">
        <v>74</v>
      </c>
      <c r="J325" t="s">
        <v>267</v>
      </c>
      <c r="K325" s="3" t="b">
        <v>1</v>
      </c>
      <c r="L325" s="3" t="b">
        <v>1</v>
      </c>
      <c r="M325" s="3" t="b">
        <v>1</v>
      </c>
      <c r="N325" s="3" t="b">
        <v>1</v>
      </c>
      <c r="O325" s="3" t="b">
        <v>1</v>
      </c>
      <c r="P325" s="3" t="b">
        <v>0</v>
      </c>
      <c r="Q325" s="3" t="b">
        <v>0</v>
      </c>
      <c r="R325" s="3" t="b">
        <v>0</v>
      </c>
      <c r="S325" s="3" t="b">
        <v>0</v>
      </c>
      <c r="T325">
        <v>870</v>
      </c>
      <c r="U325">
        <v>29747</v>
      </c>
      <c r="V325">
        <v>1</v>
      </c>
      <c r="W325">
        <v>2551</v>
      </c>
      <c r="X325">
        <v>2550</v>
      </c>
    </row>
    <row r="326" spans="1:24" x14ac:dyDescent="0.2">
      <c r="A326" t="s">
        <v>1539</v>
      </c>
      <c r="B326" t="s">
        <v>58</v>
      </c>
      <c r="C326" t="s">
        <v>1540</v>
      </c>
      <c r="G326" t="s">
        <v>1352</v>
      </c>
      <c r="H326" t="s">
        <v>1353</v>
      </c>
      <c r="I326" t="s">
        <v>1354</v>
      </c>
      <c r="J326" t="s">
        <v>29</v>
      </c>
      <c r="K326" s="3" t="b">
        <v>1</v>
      </c>
      <c r="L326" s="3" t="b">
        <v>1</v>
      </c>
      <c r="M326" s="3" t="b">
        <v>0</v>
      </c>
      <c r="N326" s="3" t="b">
        <v>1</v>
      </c>
      <c r="O326" s="3" t="b">
        <v>1</v>
      </c>
      <c r="P326" s="3" t="b">
        <v>0</v>
      </c>
      <c r="Q326" s="3" t="b">
        <v>0</v>
      </c>
      <c r="R326" s="3" t="b">
        <v>0</v>
      </c>
      <c r="S326" s="3" t="b">
        <v>1</v>
      </c>
      <c r="T326">
        <v>3380</v>
      </c>
      <c r="U326">
        <v>115210</v>
      </c>
      <c r="V326">
        <v>1</v>
      </c>
      <c r="W326">
        <v>11928</v>
      </c>
      <c r="X326">
        <v>11927</v>
      </c>
    </row>
    <row r="327" spans="1:24" x14ac:dyDescent="0.2">
      <c r="A327" t="s">
        <v>1541</v>
      </c>
      <c r="B327" t="s">
        <v>58</v>
      </c>
      <c r="C327" t="s">
        <v>1542</v>
      </c>
      <c r="G327" t="s">
        <v>72</v>
      </c>
      <c r="H327" t="s">
        <v>73</v>
      </c>
      <c r="I327" t="s">
        <v>74</v>
      </c>
      <c r="J327" t="s">
        <v>29</v>
      </c>
      <c r="K327" s="3" t="b">
        <v>1</v>
      </c>
      <c r="L327" s="3" t="b">
        <v>1</v>
      </c>
      <c r="M327" s="3" t="b">
        <v>1</v>
      </c>
      <c r="N327" s="3" t="b">
        <v>1</v>
      </c>
      <c r="O327" s="3" t="b">
        <v>0</v>
      </c>
      <c r="P327" s="3" t="b">
        <v>0</v>
      </c>
      <c r="Q327" s="3" t="b">
        <v>0</v>
      </c>
      <c r="R327" s="3" t="b">
        <v>0</v>
      </c>
      <c r="S327" s="3" t="b">
        <v>0</v>
      </c>
      <c r="T327">
        <v>870</v>
      </c>
      <c r="U327">
        <v>29747</v>
      </c>
      <c r="V327">
        <v>1</v>
      </c>
      <c r="W327">
        <v>2551</v>
      </c>
      <c r="X327">
        <v>2550</v>
      </c>
    </row>
    <row r="328" spans="1:24" x14ac:dyDescent="0.2">
      <c r="A328" t="s">
        <v>1543</v>
      </c>
      <c r="B328" t="s">
        <v>58</v>
      </c>
      <c r="C328" t="s">
        <v>967</v>
      </c>
      <c r="G328" t="s">
        <v>1544</v>
      </c>
      <c r="H328" t="s">
        <v>1545</v>
      </c>
      <c r="I328" t="s">
        <v>1546</v>
      </c>
      <c r="J328" t="s">
        <v>1218</v>
      </c>
      <c r="K328" s="3" t="b">
        <v>1</v>
      </c>
      <c r="L328" s="3" t="b">
        <v>0</v>
      </c>
      <c r="M328" s="3" t="b">
        <v>0</v>
      </c>
      <c r="N328" s="3" t="b">
        <v>0</v>
      </c>
      <c r="O328" s="3" t="b">
        <v>0</v>
      </c>
      <c r="P328" s="3" t="b">
        <v>0</v>
      </c>
      <c r="Q328" s="3" t="b">
        <v>0</v>
      </c>
      <c r="R328" s="3" t="b">
        <v>0</v>
      </c>
      <c r="S328" s="3" t="b">
        <v>0</v>
      </c>
      <c r="T328">
        <v>280</v>
      </c>
      <c r="U328">
        <v>13815</v>
      </c>
      <c r="V328">
        <v>1</v>
      </c>
      <c r="W328">
        <v>995</v>
      </c>
      <c r="X328">
        <v>994</v>
      </c>
    </row>
    <row r="329" spans="1:24" x14ac:dyDescent="0.2">
      <c r="A329" t="s">
        <v>1547</v>
      </c>
      <c r="B329" t="s">
        <v>31</v>
      </c>
      <c r="C329" t="s">
        <v>189</v>
      </c>
      <c r="D329" t="s">
        <v>1548</v>
      </c>
      <c r="G329" t="s">
        <v>1549</v>
      </c>
      <c r="H329" t="s">
        <v>1550</v>
      </c>
      <c r="I329" t="s">
        <v>1551</v>
      </c>
      <c r="J329" t="s">
        <v>29</v>
      </c>
      <c r="K329" s="3" t="b">
        <v>1</v>
      </c>
      <c r="L329" s="3" t="b">
        <v>1</v>
      </c>
      <c r="M329" s="3" t="b">
        <v>0</v>
      </c>
      <c r="N329" s="3" t="b">
        <v>1</v>
      </c>
      <c r="O329" s="3" t="b">
        <v>1</v>
      </c>
      <c r="P329" s="3" t="b">
        <v>0</v>
      </c>
      <c r="Q329" s="3" t="b">
        <v>0</v>
      </c>
      <c r="R329" s="3" t="b">
        <v>0</v>
      </c>
      <c r="S329" s="3" t="b">
        <v>0</v>
      </c>
      <c r="T329">
        <v>1094</v>
      </c>
      <c r="U329">
        <v>38359</v>
      </c>
      <c r="V329">
        <v>1</v>
      </c>
      <c r="W329">
        <v>2843</v>
      </c>
      <c r="X329">
        <v>2842</v>
      </c>
    </row>
    <row r="330" spans="1:24" x14ac:dyDescent="0.2">
      <c r="A330" t="s">
        <v>1552</v>
      </c>
      <c r="B330" t="s">
        <v>58</v>
      </c>
      <c r="C330" t="s">
        <v>1553</v>
      </c>
      <c r="G330" t="s">
        <v>1554</v>
      </c>
      <c r="H330" t="s">
        <v>1555</v>
      </c>
      <c r="I330" t="s">
        <v>79</v>
      </c>
      <c r="J330" t="s">
        <v>29</v>
      </c>
      <c r="K330" s="3" t="b">
        <v>1</v>
      </c>
      <c r="L330" s="3" t="b">
        <v>1</v>
      </c>
      <c r="M330" s="3" t="b">
        <v>0</v>
      </c>
      <c r="N330" s="3" t="b">
        <v>1</v>
      </c>
      <c r="O330" s="3" t="b">
        <v>1</v>
      </c>
      <c r="P330" s="3" t="b">
        <v>0</v>
      </c>
      <c r="Q330" s="3" t="b">
        <v>0</v>
      </c>
      <c r="R330" s="3" t="b">
        <v>0</v>
      </c>
      <c r="S330" s="3" t="b">
        <v>0</v>
      </c>
      <c r="T330">
        <v>2932</v>
      </c>
      <c r="U330">
        <v>99225</v>
      </c>
      <c r="V330">
        <v>1</v>
      </c>
      <c r="W330">
        <v>8625</v>
      </c>
      <c r="X330">
        <v>8624</v>
      </c>
    </row>
    <row r="331" spans="1:24" x14ac:dyDescent="0.2">
      <c r="A331" t="s">
        <v>1556</v>
      </c>
      <c r="B331" t="s">
        <v>24</v>
      </c>
      <c r="C331" t="s">
        <v>1557</v>
      </c>
      <c r="G331" t="s">
        <v>1558</v>
      </c>
      <c r="H331" t="s">
        <v>1559</v>
      </c>
      <c r="I331" t="s">
        <v>408</v>
      </c>
      <c r="J331" t="s">
        <v>29</v>
      </c>
      <c r="K331" s="3" t="b">
        <v>1</v>
      </c>
      <c r="L331" s="3" t="b">
        <v>1</v>
      </c>
      <c r="M331" s="3" t="b">
        <v>0</v>
      </c>
      <c r="N331" s="3" t="b">
        <v>1</v>
      </c>
      <c r="O331" s="3" t="b">
        <v>0</v>
      </c>
      <c r="P331" s="3" t="b">
        <v>0</v>
      </c>
      <c r="Q331" s="3" t="b">
        <v>0</v>
      </c>
      <c r="R331" s="3" t="b">
        <v>0</v>
      </c>
      <c r="S331" s="3" t="b">
        <v>0</v>
      </c>
      <c r="T331">
        <v>439</v>
      </c>
      <c r="U331">
        <v>17600</v>
      </c>
      <c r="V331">
        <v>1</v>
      </c>
      <c r="W331">
        <v>1524</v>
      </c>
      <c r="X331">
        <v>1522</v>
      </c>
    </row>
    <row r="332" spans="1:24" x14ac:dyDescent="0.2">
      <c r="A332" t="s">
        <v>1560</v>
      </c>
      <c r="B332" t="s">
        <v>58</v>
      </c>
      <c r="C332" t="s">
        <v>1561</v>
      </c>
      <c r="D332" t="s">
        <v>1562</v>
      </c>
      <c r="G332" t="s">
        <v>353</v>
      </c>
      <c r="H332" t="s">
        <v>354</v>
      </c>
      <c r="I332" t="s">
        <v>355</v>
      </c>
      <c r="J332" t="s">
        <v>29</v>
      </c>
      <c r="K332" s="3" t="b">
        <v>1</v>
      </c>
      <c r="L332" s="3" t="b">
        <v>0</v>
      </c>
      <c r="M332" s="3" t="b">
        <v>0</v>
      </c>
      <c r="N332" s="3" t="b">
        <v>0</v>
      </c>
      <c r="O332" s="3" t="b">
        <v>0</v>
      </c>
      <c r="P332" s="3" t="b">
        <v>0</v>
      </c>
      <c r="Q332" s="3" t="b">
        <v>0</v>
      </c>
      <c r="R332" s="3" t="b">
        <v>0</v>
      </c>
      <c r="S332" s="3" t="b">
        <v>0</v>
      </c>
      <c r="T332">
        <v>2840</v>
      </c>
      <c r="U332">
        <v>97616</v>
      </c>
      <c r="V332">
        <v>1</v>
      </c>
      <c r="W332">
        <v>8469</v>
      </c>
      <c r="X332">
        <v>8468</v>
      </c>
    </row>
    <row r="333" spans="1:24" x14ac:dyDescent="0.2">
      <c r="A333" t="s">
        <v>1563</v>
      </c>
      <c r="B333" t="s">
        <v>51</v>
      </c>
      <c r="C333" t="s">
        <v>554</v>
      </c>
      <c r="D333" t="s">
        <v>1564</v>
      </c>
      <c r="E333" t="s">
        <v>1565</v>
      </c>
      <c r="G333" t="s">
        <v>1566</v>
      </c>
      <c r="H333" t="s">
        <v>1567</v>
      </c>
      <c r="I333" t="s">
        <v>113</v>
      </c>
      <c r="J333" t="s">
        <v>91</v>
      </c>
      <c r="K333" s="3" t="b">
        <v>1</v>
      </c>
      <c r="L333" s="3" t="b">
        <v>1</v>
      </c>
      <c r="M333" s="3" t="b">
        <v>1</v>
      </c>
      <c r="N333" s="3" t="b">
        <v>1</v>
      </c>
      <c r="O333" s="3" t="b">
        <v>1</v>
      </c>
      <c r="P333" s="3" t="b">
        <v>0</v>
      </c>
      <c r="Q333" s="3" t="b">
        <v>0</v>
      </c>
      <c r="R333" s="3" t="b">
        <v>0</v>
      </c>
      <c r="S333" s="3" t="b">
        <v>1</v>
      </c>
      <c r="T333">
        <v>3612</v>
      </c>
      <c r="U333">
        <v>149926</v>
      </c>
      <c r="V333">
        <v>1</v>
      </c>
      <c r="W333">
        <v>13078</v>
      </c>
      <c r="X333">
        <v>13077</v>
      </c>
    </row>
    <row r="334" spans="1:24" x14ac:dyDescent="0.2">
      <c r="A334" t="s">
        <v>1568</v>
      </c>
      <c r="B334" t="s">
        <v>31</v>
      </c>
      <c r="C334" t="s">
        <v>902</v>
      </c>
      <c r="D334" t="s">
        <v>1569</v>
      </c>
      <c r="G334" t="s">
        <v>1570</v>
      </c>
      <c r="H334" t="s">
        <v>1571</v>
      </c>
      <c r="I334" t="s">
        <v>1572</v>
      </c>
      <c r="J334" t="s">
        <v>91</v>
      </c>
      <c r="K334" s="3" t="b">
        <v>1</v>
      </c>
      <c r="L334" s="3" t="b">
        <v>0</v>
      </c>
      <c r="M334" s="3" t="b">
        <v>0</v>
      </c>
      <c r="N334" s="3" t="b">
        <v>0</v>
      </c>
      <c r="O334" s="3" t="b">
        <v>0</v>
      </c>
      <c r="P334" s="3" t="b">
        <v>0</v>
      </c>
      <c r="Q334" s="3" t="b">
        <v>0</v>
      </c>
      <c r="R334" s="3" t="b">
        <v>0</v>
      </c>
      <c r="S334" s="3" t="b">
        <v>0</v>
      </c>
      <c r="T334">
        <v>1232</v>
      </c>
      <c r="U334">
        <v>46785</v>
      </c>
      <c r="V334">
        <v>1</v>
      </c>
      <c r="W334">
        <v>3372</v>
      </c>
      <c r="X334">
        <v>3371</v>
      </c>
    </row>
    <row r="335" spans="1:24" x14ac:dyDescent="0.2">
      <c r="A335" t="s">
        <v>1573</v>
      </c>
      <c r="B335" t="s">
        <v>24</v>
      </c>
      <c r="C335" t="s">
        <v>1574</v>
      </c>
      <c r="G335" t="s">
        <v>1383</v>
      </c>
      <c r="H335" t="s">
        <v>1384</v>
      </c>
      <c r="I335" t="s">
        <v>309</v>
      </c>
      <c r="J335" t="s">
        <v>310</v>
      </c>
      <c r="K335" s="3" t="b">
        <v>1</v>
      </c>
      <c r="L335" s="3" t="b">
        <v>1</v>
      </c>
      <c r="M335" s="3" t="b">
        <v>0</v>
      </c>
      <c r="N335" s="3" t="b">
        <v>1</v>
      </c>
      <c r="O335" s="3" t="b">
        <v>1</v>
      </c>
      <c r="P335" s="3" t="b">
        <v>0</v>
      </c>
      <c r="Q335" s="3" t="b">
        <v>0</v>
      </c>
      <c r="R335" s="3" t="b">
        <v>0</v>
      </c>
      <c r="S335" s="3" t="b">
        <v>1</v>
      </c>
      <c r="T335">
        <v>680</v>
      </c>
      <c r="U335">
        <v>21283</v>
      </c>
      <c r="V335">
        <v>38</v>
      </c>
      <c r="W335">
        <v>1921</v>
      </c>
      <c r="X335">
        <v>1856</v>
      </c>
    </row>
    <row r="336" spans="1:24" x14ac:dyDescent="0.2">
      <c r="A336" t="s">
        <v>1575</v>
      </c>
      <c r="B336" t="s">
        <v>24</v>
      </c>
      <c r="C336" t="s">
        <v>1576</v>
      </c>
      <c r="D336" t="s">
        <v>1577</v>
      </c>
      <c r="F336" t="s">
        <v>1578</v>
      </c>
      <c r="G336" t="s">
        <v>1579</v>
      </c>
      <c r="H336" t="s">
        <v>1580</v>
      </c>
      <c r="I336" t="s">
        <v>684</v>
      </c>
      <c r="J336" t="s">
        <v>91</v>
      </c>
      <c r="K336" s="3" t="b">
        <v>1</v>
      </c>
      <c r="L336" s="3" t="b">
        <v>1</v>
      </c>
      <c r="M336" s="3" t="b">
        <v>1</v>
      </c>
      <c r="N336" s="3" t="b">
        <v>1</v>
      </c>
      <c r="O336" s="3" t="b">
        <v>1</v>
      </c>
      <c r="P336" s="3" t="b">
        <v>0</v>
      </c>
      <c r="Q336" s="3" t="b">
        <v>0</v>
      </c>
      <c r="R336" s="3" t="b">
        <v>1</v>
      </c>
      <c r="S336" s="3" t="b">
        <v>1</v>
      </c>
      <c r="T336">
        <v>118</v>
      </c>
      <c r="U336">
        <v>7704</v>
      </c>
      <c r="V336">
        <v>1</v>
      </c>
      <c r="W336">
        <v>639</v>
      </c>
      <c r="X336">
        <v>632</v>
      </c>
    </row>
    <row r="337" spans="1:24" x14ac:dyDescent="0.2">
      <c r="A337" t="s">
        <v>1581</v>
      </c>
      <c r="B337" t="s">
        <v>51</v>
      </c>
      <c r="C337" t="s">
        <v>1582</v>
      </c>
      <c r="E337" t="s">
        <v>902</v>
      </c>
      <c r="G337" t="s">
        <v>1583</v>
      </c>
      <c r="H337" t="s">
        <v>1584</v>
      </c>
      <c r="I337" t="s">
        <v>1585</v>
      </c>
      <c r="J337" t="s">
        <v>29</v>
      </c>
      <c r="K337" s="3" t="b">
        <v>1</v>
      </c>
      <c r="L337" s="3" t="b">
        <v>1</v>
      </c>
      <c r="M337" s="3" t="b">
        <v>1</v>
      </c>
      <c r="N337" s="3" t="b">
        <v>1</v>
      </c>
      <c r="O337" s="3" t="b">
        <v>1</v>
      </c>
      <c r="P337" s="3" t="b">
        <v>0</v>
      </c>
      <c r="Q337" s="3" t="b">
        <v>0</v>
      </c>
      <c r="R337" s="3" t="b">
        <v>0</v>
      </c>
      <c r="S337" s="3" t="b">
        <v>1</v>
      </c>
      <c r="T337">
        <v>1929</v>
      </c>
      <c r="U337">
        <v>67180</v>
      </c>
      <c r="V337">
        <v>1</v>
      </c>
      <c r="W337">
        <v>6132</v>
      </c>
      <c r="X337">
        <v>6131</v>
      </c>
    </row>
    <row r="338" spans="1:24" x14ac:dyDescent="0.2">
      <c r="A338" t="s">
        <v>1586</v>
      </c>
      <c r="B338" t="s">
        <v>24</v>
      </c>
      <c r="C338" t="s">
        <v>1587</v>
      </c>
      <c r="G338" t="s">
        <v>1588</v>
      </c>
      <c r="H338" t="s">
        <v>1589</v>
      </c>
      <c r="I338" t="s">
        <v>1590</v>
      </c>
      <c r="J338" t="s">
        <v>29</v>
      </c>
      <c r="K338" s="3" t="b">
        <v>1</v>
      </c>
      <c r="L338" s="3" t="b">
        <v>1</v>
      </c>
      <c r="M338" s="3" t="b">
        <v>0</v>
      </c>
      <c r="N338" s="3" t="b">
        <v>1</v>
      </c>
      <c r="O338" s="3" t="b">
        <v>1</v>
      </c>
      <c r="P338" s="3" t="b">
        <v>0</v>
      </c>
      <c r="Q338" s="3" t="b">
        <v>0</v>
      </c>
      <c r="R338" s="3" t="b">
        <v>0</v>
      </c>
      <c r="S338" s="3" t="b">
        <v>0</v>
      </c>
      <c r="T338">
        <v>37</v>
      </c>
      <c r="U338">
        <v>2403</v>
      </c>
      <c r="V338">
        <v>1</v>
      </c>
      <c r="W338">
        <v>149</v>
      </c>
      <c r="X338">
        <v>148</v>
      </c>
    </row>
    <row r="339" spans="1:24" x14ac:dyDescent="0.2">
      <c r="A339" t="s">
        <v>1591</v>
      </c>
      <c r="B339" t="s">
        <v>24</v>
      </c>
      <c r="C339" t="s">
        <v>911</v>
      </c>
      <c r="D339" t="s">
        <v>1592</v>
      </c>
      <c r="F339" t="s">
        <v>1593</v>
      </c>
      <c r="G339" t="s">
        <v>1594</v>
      </c>
      <c r="H339" t="s">
        <v>1595</v>
      </c>
      <c r="I339" t="s">
        <v>1596</v>
      </c>
      <c r="J339" t="s">
        <v>91</v>
      </c>
      <c r="K339" s="3" t="b">
        <v>1</v>
      </c>
      <c r="L339" s="3" t="b">
        <v>1</v>
      </c>
      <c r="M339" s="3" t="b">
        <v>0</v>
      </c>
      <c r="N339" s="3" t="b">
        <v>1</v>
      </c>
      <c r="O339" s="3" t="b">
        <v>0</v>
      </c>
      <c r="P339" s="3" t="b">
        <v>0</v>
      </c>
      <c r="Q339" s="3" t="b">
        <v>0</v>
      </c>
      <c r="R339" s="3" t="b">
        <v>0</v>
      </c>
      <c r="S339" s="3" t="b">
        <v>0</v>
      </c>
      <c r="T339">
        <v>408</v>
      </c>
      <c r="U339">
        <v>16876</v>
      </c>
      <c r="V339">
        <v>1</v>
      </c>
      <c r="W339">
        <v>1450</v>
      </c>
      <c r="X339">
        <v>1449</v>
      </c>
    </row>
    <row r="340" spans="1:24" x14ac:dyDescent="0.2">
      <c r="A340" t="s">
        <v>1597</v>
      </c>
      <c r="B340" t="s">
        <v>24</v>
      </c>
      <c r="C340" t="s">
        <v>598</v>
      </c>
      <c r="D340" t="s">
        <v>1598</v>
      </c>
      <c r="F340" t="s">
        <v>1599</v>
      </c>
      <c r="G340" t="s">
        <v>111</v>
      </c>
      <c r="H340" t="s">
        <v>112</v>
      </c>
      <c r="I340" t="s">
        <v>113</v>
      </c>
      <c r="J340" t="s">
        <v>91</v>
      </c>
      <c r="K340" s="3" t="b">
        <v>1</v>
      </c>
      <c r="L340" s="3" t="b">
        <v>1</v>
      </c>
      <c r="M340" s="3" t="b">
        <v>0</v>
      </c>
      <c r="N340" s="3" t="b">
        <v>1</v>
      </c>
      <c r="O340" s="3" t="b">
        <v>1</v>
      </c>
      <c r="P340" s="3" t="b">
        <v>0</v>
      </c>
      <c r="Q340" s="3" t="b">
        <v>0</v>
      </c>
      <c r="R340" s="3" t="b">
        <v>0</v>
      </c>
      <c r="S340" s="3" t="b">
        <v>0</v>
      </c>
      <c r="T340">
        <v>3612</v>
      </c>
      <c r="U340">
        <v>149926</v>
      </c>
      <c r="V340">
        <v>1</v>
      </c>
      <c r="W340">
        <v>13078</v>
      </c>
      <c r="X340">
        <v>13077</v>
      </c>
    </row>
    <row r="341" spans="1:24" x14ac:dyDescent="0.2">
      <c r="A341" t="s">
        <v>1600</v>
      </c>
      <c r="B341" t="s">
        <v>31</v>
      </c>
      <c r="C341" t="s">
        <v>1601</v>
      </c>
      <c r="D341" t="s">
        <v>1602</v>
      </c>
      <c r="G341" t="s">
        <v>377</v>
      </c>
      <c r="H341" t="s">
        <v>378</v>
      </c>
      <c r="I341" t="s">
        <v>379</v>
      </c>
      <c r="J341" t="s">
        <v>91</v>
      </c>
      <c r="K341" s="3" t="b">
        <v>1</v>
      </c>
      <c r="L341" s="3" t="b">
        <v>1</v>
      </c>
      <c r="M341" s="3" t="b">
        <v>0</v>
      </c>
      <c r="N341" s="3" t="b">
        <v>1</v>
      </c>
      <c r="O341" s="3" t="b">
        <v>0</v>
      </c>
      <c r="P341" s="3" t="b">
        <v>0</v>
      </c>
      <c r="Q341" s="3" t="b">
        <v>0</v>
      </c>
      <c r="R341" s="3" t="b">
        <v>0</v>
      </c>
      <c r="S341" s="3" t="b">
        <v>0</v>
      </c>
      <c r="T341">
        <v>3308</v>
      </c>
      <c r="U341">
        <v>110330</v>
      </c>
      <c r="V341">
        <v>1</v>
      </c>
      <c r="W341">
        <v>11235</v>
      </c>
      <c r="X341">
        <v>11233</v>
      </c>
    </row>
    <row r="342" spans="1:24" x14ac:dyDescent="0.2">
      <c r="A342" t="s">
        <v>1603</v>
      </c>
      <c r="B342" t="s">
        <v>51</v>
      </c>
      <c r="C342" t="s">
        <v>1604</v>
      </c>
      <c r="E342" t="s">
        <v>1605</v>
      </c>
      <c r="G342" t="s">
        <v>1606</v>
      </c>
      <c r="H342" t="s">
        <v>1607</v>
      </c>
      <c r="I342" t="s">
        <v>1608</v>
      </c>
      <c r="J342" t="s">
        <v>29</v>
      </c>
      <c r="K342" s="3" t="b">
        <v>1</v>
      </c>
      <c r="L342" s="3" t="b">
        <v>0</v>
      </c>
      <c r="M342" s="3" t="b">
        <v>0</v>
      </c>
      <c r="N342" s="3" t="b">
        <v>0</v>
      </c>
      <c r="O342" s="3" t="b">
        <v>0</v>
      </c>
      <c r="P342" s="3" t="b">
        <v>0</v>
      </c>
      <c r="Q342" s="3" t="b">
        <v>0</v>
      </c>
      <c r="R342" s="3" t="b">
        <v>0</v>
      </c>
      <c r="S342" s="3" t="b">
        <v>0</v>
      </c>
      <c r="T342">
        <v>2854</v>
      </c>
      <c r="U342">
        <v>97877</v>
      </c>
      <c r="V342">
        <v>1</v>
      </c>
      <c r="W342">
        <v>8524</v>
      </c>
      <c r="X342">
        <v>8523</v>
      </c>
    </row>
    <row r="343" spans="1:24" x14ac:dyDescent="0.2">
      <c r="A343" t="s">
        <v>1609</v>
      </c>
      <c r="B343" t="s">
        <v>24</v>
      </c>
      <c r="C343" t="s">
        <v>1610</v>
      </c>
      <c r="G343" t="s">
        <v>1611</v>
      </c>
      <c r="H343" t="s">
        <v>1612</v>
      </c>
      <c r="I343" t="s">
        <v>1613</v>
      </c>
      <c r="J343" t="s">
        <v>29</v>
      </c>
      <c r="K343" s="3" t="b">
        <v>1</v>
      </c>
      <c r="L343" s="3" t="b">
        <v>1</v>
      </c>
      <c r="M343" s="3" t="b">
        <v>0</v>
      </c>
      <c r="N343" s="3" t="b">
        <v>1</v>
      </c>
      <c r="O343" s="3" t="b">
        <v>1</v>
      </c>
      <c r="P343" s="3" t="b">
        <v>0</v>
      </c>
      <c r="Q343" s="3" t="b">
        <v>0</v>
      </c>
      <c r="R343" s="3" t="b">
        <v>0</v>
      </c>
      <c r="S343" s="3" t="b">
        <v>0</v>
      </c>
      <c r="T343">
        <v>38</v>
      </c>
      <c r="U343">
        <v>2403</v>
      </c>
      <c r="V343">
        <v>1</v>
      </c>
      <c r="W343">
        <v>148</v>
      </c>
      <c r="X343">
        <v>147</v>
      </c>
    </row>
    <row r="344" spans="1:24" x14ac:dyDescent="0.2">
      <c r="A344" t="s">
        <v>1614</v>
      </c>
      <c r="B344" t="s">
        <v>51</v>
      </c>
      <c r="C344" t="s">
        <v>675</v>
      </c>
      <c r="D344" t="s">
        <v>1615</v>
      </c>
      <c r="E344" t="s">
        <v>1616</v>
      </c>
      <c r="G344" t="s">
        <v>1617</v>
      </c>
      <c r="H344" t="s">
        <v>1618</v>
      </c>
      <c r="I344" t="s">
        <v>1619</v>
      </c>
      <c r="J344" t="s">
        <v>91</v>
      </c>
      <c r="K344" s="3" t="b">
        <v>1</v>
      </c>
      <c r="L344" s="3" t="b">
        <v>1</v>
      </c>
      <c r="M344" s="3" t="b">
        <v>0</v>
      </c>
      <c r="N344" s="3" t="b">
        <v>1</v>
      </c>
      <c r="O344" s="3" t="b">
        <v>0</v>
      </c>
      <c r="P344" s="3" t="b">
        <v>0</v>
      </c>
      <c r="Q344" s="3" t="b">
        <v>0</v>
      </c>
      <c r="R344" s="3" t="b">
        <v>0</v>
      </c>
      <c r="S344" s="3" t="b">
        <v>0</v>
      </c>
      <c r="T344">
        <v>1230</v>
      </c>
      <c r="U344">
        <v>46785</v>
      </c>
      <c r="V344">
        <v>1</v>
      </c>
      <c r="W344">
        <v>3374</v>
      </c>
      <c r="X344">
        <v>3373</v>
      </c>
    </row>
    <row r="345" spans="1:24" x14ac:dyDescent="0.2">
      <c r="A345" t="s">
        <v>1620</v>
      </c>
      <c r="B345" t="s">
        <v>51</v>
      </c>
      <c r="C345" t="s">
        <v>1621</v>
      </c>
      <c r="D345" t="s">
        <v>1622</v>
      </c>
      <c r="E345" t="s">
        <v>1623</v>
      </c>
      <c r="G345" t="s">
        <v>1624</v>
      </c>
      <c r="H345" t="s">
        <v>1625</v>
      </c>
      <c r="I345" t="s">
        <v>42</v>
      </c>
      <c r="J345" t="s">
        <v>43</v>
      </c>
      <c r="K345" s="3" t="b">
        <v>1</v>
      </c>
      <c r="L345" s="3" t="b">
        <v>0</v>
      </c>
      <c r="M345" s="3" t="b">
        <v>0</v>
      </c>
      <c r="N345" s="3" t="b">
        <v>0</v>
      </c>
      <c r="O345" s="3" t="b">
        <v>0</v>
      </c>
      <c r="P345" s="3" t="b">
        <v>0</v>
      </c>
      <c r="Q345" s="3" t="b">
        <v>0</v>
      </c>
      <c r="R345" s="3" t="b">
        <v>0</v>
      </c>
      <c r="S345" s="3" t="b">
        <v>0</v>
      </c>
      <c r="T345">
        <v>782</v>
      </c>
      <c r="U345">
        <v>25052</v>
      </c>
      <c r="V345">
        <v>2</v>
      </c>
      <c r="W345">
        <v>2293</v>
      </c>
      <c r="X345">
        <v>2291</v>
      </c>
    </row>
    <row r="346" spans="1:24" x14ac:dyDescent="0.2">
      <c r="A346" t="s">
        <v>1626</v>
      </c>
      <c r="B346" t="s">
        <v>31</v>
      </c>
      <c r="C346" t="s">
        <v>1627</v>
      </c>
      <c r="G346" t="s">
        <v>312</v>
      </c>
      <c r="H346" t="s">
        <v>313</v>
      </c>
      <c r="I346" t="s">
        <v>314</v>
      </c>
      <c r="J346" t="s">
        <v>315</v>
      </c>
      <c r="K346" s="3" t="b">
        <v>1</v>
      </c>
      <c r="L346" s="3" t="b">
        <v>0</v>
      </c>
      <c r="M346" s="3" t="b">
        <v>0</v>
      </c>
      <c r="N346" s="3" t="b">
        <v>0</v>
      </c>
      <c r="O346" s="3" t="b">
        <v>0</v>
      </c>
      <c r="P346" s="3" t="b">
        <v>0</v>
      </c>
      <c r="Q346" s="3" t="b">
        <v>0</v>
      </c>
      <c r="R346" s="3" t="b">
        <v>0</v>
      </c>
      <c r="S346" s="3" t="b">
        <v>0</v>
      </c>
      <c r="T346">
        <v>2339</v>
      </c>
      <c r="U346">
        <v>85311</v>
      </c>
      <c r="V346">
        <v>1</v>
      </c>
      <c r="W346">
        <v>7366</v>
      </c>
      <c r="X346">
        <v>7365</v>
      </c>
    </row>
    <row r="347" spans="1:24" x14ac:dyDescent="0.2">
      <c r="A347" t="s">
        <v>1628</v>
      </c>
      <c r="B347" t="s">
        <v>24</v>
      </c>
      <c r="C347" t="s">
        <v>1629</v>
      </c>
      <c r="F347" t="s">
        <v>1630</v>
      </c>
      <c r="G347" t="s">
        <v>129</v>
      </c>
      <c r="H347" t="s">
        <v>130</v>
      </c>
      <c r="I347" t="s">
        <v>131</v>
      </c>
      <c r="J347" t="s">
        <v>29</v>
      </c>
      <c r="K347" s="3" t="b">
        <v>1</v>
      </c>
      <c r="L347" s="3" t="b">
        <v>1</v>
      </c>
      <c r="M347" s="3" t="b">
        <v>0</v>
      </c>
      <c r="N347" s="3" t="b">
        <v>1</v>
      </c>
      <c r="O347" s="3" t="b">
        <v>0</v>
      </c>
      <c r="P347" s="3" t="b">
        <v>0</v>
      </c>
      <c r="Q347" s="3" t="b">
        <v>0</v>
      </c>
      <c r="R347" s="3" t="b">
        <v>0</v>
      </c>
      <c r="S347" s="3" t="b">
        <v>0</v>
      </c>
      <c r="T347">
        <v>931</v>
      </c>
      <c r="U347">
        <v>34392</v>
      </c>
      <c r="V347">
        <v>1</v>
      </c>
      <c r="W347">
        <v>2655</v>
      </c>
      <c r="X347">
        <v>2654</v>
      </c>
    </row>
    <row r="348" spans="1:24" x14ac:dyDescent="0.2">
      <c r="A348" t="s">
        <v>1631</v>
      </c>
      <c r="B348" t="s">
        <v>24</v>
      </c>
      <c r="C348" t="s">
        <v>1337</v>
      </c>
      <c r="G348" t="s">
        <v>1632</v>
      </c>
      <c r="H348" t="s">
        <v>1633</v>
      </c>
      <c r="I348" t="s">
        <v>295</v>
      </c>
      <c r="J348" t="s">
        <v>29</v>
      </c>
      <c r="K348" s="3" t="b">
        <v>1</v>
      </c>
      <c r="L348" s="3" t="b">
        <v>1</v>
      </c>
      <c r="M348" s="3" t="b">
        <v>0</v>
      </c>
      <c r="N348" s="3" t="b">
        <v>1</v>
      </c>
      <c r="O348" s="3" t="b">
        <v>1</v>
      </c>
      <c r="P348" s="3" t="b">
        <v>0</v>
      </c>
      <c r="Q348" s="3" t="b">
        <v>0</v>
      </c>
      <c r="R348" s="3" t="b">
        <v>0</v>
      </c>
      <c r="S348" s="3" t="b">
        <v>0</v>
      </c>
      <c r="T348">
        <v>34</v>
      </c>
      <c r="U348">
        <v>2403</v>
      </c>
      <c r="V348">
        <v>1</v>
      </c>
      <c r="W348">
        <v>152</v>
      </c>
      <c r="X348">
        <v>151</v>
      </c>
    </row>
    <row r="349" spans="1:24" x14ac:dyDescent="0.2">
      <c r="A349" t="s">
        <v>1634</v>
      </c>
      <c r="B349" t="s">
        <v>24</v>
      </c>
      <c r="C349" t="s">
        <v>467</v>
      </c>
      <c r="G349" t="s">
        <v>1635</v>
      </c>
      <c r="H349" t="s">
        <v>1636</v>
      </c>
      <c r="I349" t="s">
        <v>1637</v>
      </c>
      <c r="J349" t="s">
        <v>29</v>
      </c>
      <c r="K349" s="3" t="b">
        <v>1</v>
      </c>
      <c r="L349" s="3" t="b">
        <v>1</v>
      </c>
      <c r="M349" s="3" t="b">
        <v>0</v>
      </c>
      <c r="N349" s="3" t="b">
        <v>1</v>
      </c>
      <c r="O349" s="3" t="b">
        <v>0</v>
      </c>
      <c r="P349" s="3" t="b">
        <v>0</v>
      </c>
      <c r="Q349" s="3" t="b">
        <v>0</v>
      </c>
      <c r="R349" s="3" t="b">
        <v>0</v>
      </c>
      <c r="S349" s="3" t="b">
        <v>0</v>
      </c>
      <c r="T349">
        <v>864</v>
      </c>
      <c r="U349">
        <v>29556</v>
      </c>
      <c r="V349">
        <v>1</v>
      </c>
      <c r="W349">
        <v>2548</v>
      </c>
      <c r="X349">
        <v>2547</v>
      </c>
    </row>
    <row r="350" spans="1:24" x14ac:dyDescent="0.2">
      <c r="A350" t="s">
        <v>1638</v>
      </c>
      <c r="B350" t="s">
        <v>58</v>
      </c>
      <c r="C350" t="s">
        <v>484</v>
      </c>
      <c r="D350" t="s">
        <v>1639</v>
      </c>
      <c r="G350" t="s">
        <v>1640</v>
      </c>
      <c r="H350" t="s">
        <v>1641</v>
      </c>
      <c r="I350" t="s">
        <v>1642</v>
      </c>
      <c r="J350" t="s">
        <v>1643</v>
      </c>
      <c r="K350" s="3" t="b">
        <v>1</v>
      </c>
      <c r="L350" s="3" t="b">
        <v>0</v>
      </c>
      <c r="M350" s="3" t="b">
        <v>0</v>
      </c>
      <c r="N350" s="3" t="b">
        <v>0</v>
      </c>
      <c r="O350" s="3" t="b">
        <v>0</v>
      </c>
      <c r="P350" s="3" t="b">
        <v>0</v>
      </c>
      <c r="Q350" s="3" t="b">
        <v>0</v>
      </c>
      <c r="R350" s="3" t="b">
        <v>0</v>
      </c>
      <c r="S350" s="3" t="b">
        <v>0</v>
      </c>
      <c r="T350">
        <v>861</v>
      </c>
      <c r="U350">
        <v>29536</v>
      </c>
      <c r="V350">
        <v>1</v>
      </c>
      <c r="W350">
        <v>2542</v>
      </c>
      <c r="X350">
        <v>2541</v>
      </c>
    </row>
    <row r="351" spans="1:24" x14ac:dyDescent="0.2">
      <c r="A351" t="s">
        <v>1644</v>
      </c>
      <c r="B351" t="s">
        <v>24</v>
      </c>
      <c r="C351" t="s">
        <v>437</v>
      </c>
      <c r="D351" t="s">
        <v>1645</v>
      </c>
      <c r="F351" t="s">
        <v>1646</v>
      </c>
      <c r="G351" t="s">
        <v>1647</v>
      </c>
      <c r="H351" s="2" t="s">
        <v>1648</v>
      </c>
      <c r="I351" t="s">
        <v>1649</v>
      </c>
      <c r="J351" t="s">
        <v>29</v>
      </c>
      <c r="K351" s="3" t="b">
        <v>1</v>
      </c>
      <c r="L351" s="3" t="b">
        <v>1</v>
      </c>
      <c r="M351" s="3" t="b">
        <v>0</v>
      </c>
      <c r="N351" s="3" t="b">
        <v>1</v>
      </c>
      <c r="O351" s="3" t="b">
        <v>0</v>
      </c>
      <c r="P351" s="3" t="b">
        <v>0</v>
      </c>
      <c r="Q351" s="3" t="b">
        <v>0</v>
      </c>
      <c r="R351" s="3" t="b">
        <v>0</v>
      </c>
      <c r="S351" s="3" t="b">
        <v>0</v>
      </c>
      <c r="T351">
        <v>29</v>
      </c>
      <c r="U351">
        <v>2403</v>
      </c>
      <c r="V351">
        <v>1</v>
      </c>
      <c r="W351">
        <v>157</v>
      </c>
      <c r="X351">
        <v>156</v>
      </c>
    </row>
    <row r="352" spans="1:24" x14ac:dyDescent="0.2">
      <c r="A352" t="s">
        <v>1650</v>
      </c>
      <c r="B352" t="s">
        <v>24</v>
      </c>
      <c r="C352" t="s">
        <v>1148</v>
      </c>
      <c r="G352" t="s">
        <v>749</v>
      </c>
      <c r="H352" t="s">
        <v>750</v>
      </c>
      <c r="I352" t="s">
        <v>79</v>
      </c>
      <c r="J352" t="s">
        <v>29</v>
      </c>
      <c r="K352" s="3" t="b">
        <v>1</v>
      </c>
      <c r="L352" s="3" t="b">
        <v>1</v>
      </c>
      <c r="M352" s="3" t="b">
        <v>0</v>
      </c>
      <c r="N352" s="3" t="b">
        <v>1</v>
      </c>
      <c r="O352" s="3" t="b">
        <v>0</v>
      </c>
      <c r="P352" s="3" t="b">
        <v>0</v>
      </c>
      <c r="Q352" s="3" t="b">
        <v>0</v>
      </c>
      <c r="R352" s="3" t="b">
        <v>0</v>
      </c>
      <c r="S352" s="3" t="b">
        <v>0</v>
      </c>
      <c r="T352">
        <v>2932</v>
      </c>
      <c r="U352">
        <v>99225</v>
      </c>
      <c r="V352">
        <v>1</v>
      </c>
      <c r="W352">
        <v>8625</v>
      </c>
      <c r="X352">
        <v>8624</v>
      </c>
    </row>
    <row r="353" spans="1:24" x14ac:dyDescent="0.2">
      <c r="A353" t="s">
        <v>1651</v>
      </c>
      <c r="B353" t="s">
        <v>31</v>
      </c>
      <c r="C353" t="s">
        <v>1652</v>
      </c>
      <c r="G353" t="s">
        <v>1624</v>
      </c>
      <c r="H353" t="s">
        <v>1625</v>
      </c>
      <c r="I353" t="s">
        <v>42</v>
      </c>
      <c r="J353" t="s">
        <v>43</v>
      </c>
      <c r="K353" s="3" t="b">
        <v>1</v>
      </c>
      <c r="L353" s="3" t="b">
        <v>0</v>
      </c>
      <c r="M353" s="3" t="b">
        <v>0</v>
      </c>
      <c r="N353" s="3" t="b">
        <v>0</v>
      </c>
      <c r="O353" s="3" t="b">
        <v>0</v>
      </c>
      <c r="P353" s="3" t="b">
        <v>0</v>
      </c>
      <c r="Q353" s="3" t="b">
        <v>0</v>
      </c>
      <c r="R353" s="3" t="b">
        <v>0</v>
      </c>
      <c r="S353" s="3" t="b">
        <v>0</v>
      </c>
      <c r="T353">
        <v>782</v>
      </c>
      <c r="U353">
        <v>25052</v>
      </c>
      <c r="V353">
        <v>2</v>
      </c>
      <c r="W353">
        <v>2293</v>
      </c>
      <c r="X353">
        <v>2291</v>
      </c>
    </row>
    <row r="354" spans="1:24" x14ac:dyDescent="0.2">
      <c r="A354" t="s">
        <v>1653</v>
      </c>
      <c r="B354" t="s">
        <v>24</v>
      </c>
      <c r="C354" t="s">
        <v>1654</v>
      </c>
      <c r="G354" t="s">
        <v>1655</v>
      </c>
      <c r="H354" t="s">
        <v>1656</v>
      </c>
      <c r="I354" t="s">
        <v>1657</v>
      </c>
      <c r="J354" t="s">
        <v>29</v>
      </c>
      <c r="K354" s="3" t="b">
        <v>1</v>
      </c>
      <c r="L354" s="3" t="b">
        <v>1</v>
      </c>
      <c r="M354" s="3" t="b">
        <v>0</v>
      </c>
      <c r="N354" s="3" t="b">
        <v>1</v>
      </c>
      <c r="O354" s="3" t="b">
        <v>0</v>
      </c>
      <c r="P354" s="3" t="b">
        <v>0</v>
      </c>
      <c r="Q354" s="3" t="b">
        <v>0</v>
      </c>
      <c r="R354" s="3" t="b">
        <v>0</v>
      </c>
      <c r="S354" s="3" t="b">
        <v>1</v>
      </c>
      <c r="T354">
        <v>442</v>
      </c>
      <c r="U354">
        <v>17600</v>
      </c>
      <c r="V354">
        <v>1</v>
      </c>
      <c r="W354">
        <v>1520</v>
      </c>
      <c r="X354">
        <v>1519</v>
      </c>
    </row>
    <row r="355" spans="1:24" x14ac:dyDescent="0.2">
      <c r="A355" t="s">
        <v>1658</v>
      </c>
      <c r="B355" t="s">
        <v>58</v>
      </c>
      <c r="C355" t="s">
        <v>763</v>
      </c>
      <c r="G355" t="s">
        <v>1659</v>
      </c>
      <c r="H355" t="s">
        <v>1660</v>
      </c>
      <c r="I355" t="s">
        <v>1661</v>
      </c>
      <c r="J355" t="s">
        <v>1662</v>
      </c>
      <c r="K355" s="3" t="b">
        <v>1</v>
      </c>
      <c r="L355" s="3" t="b">
        <v>0</v>
      </c>
      <c r="M355" s="3" t="b">
        <v>0</v>
      </c>
      <c r="N355" s="3" t="b">
        <v>0</v>
      </c>
      <c r="O355" s="3" t="b">
        <v>0</v>
      </c>
      <c r="P355" s="3" t="b">
        <v>0</v>
      </c>
      <c r="Q355" s="3" t="b">
        <v>0</v>
      </c>
      <c r="R355" s="3" t="b">
        <v>0</v>
      </c>
      <c r="S355" s="3" t="b">
        <v>0</v>
      </c>
      <c r="T355">
        <v>285</v>
      </c>
      <c r="U355">
        <v>13815</v>
      </c>
      <c r="V355">
        <v>1</v>
      </c>
      <c r="W355">
        <v>990</v>
      </c>
      <c r="X355">
        <v>989</v>
      </c>
    </row>
    <row r="356" spans="1:24" x14ac:dyDescent="0.2">
      <c r="A356" t="s">
        <v>1663</v>
      </c>
      <c r="B356" t="s">
        <v>58</v>
      </c>
      <c r="C356" t="s">
        <v>1664</v>
      </c>
      <c r="D356" t="s">
        <v>1665</v>
      </c>
      <c r="G356" t="s">
        <v>1666</v>
      </c>
      <c r="H356" t="s">
        <v>1667</v>
      </c>
      <c r="I356" t="s">
        <v>530</v>
      </c>
      <c r="J356" t="s">
        <v>91</v>
      </c>
      <c r="K356" s="3" t="b">
        <v>1</v>
      </c>
      <c r="L356" s="3" t="b">
        <v>1</v>
      </c>
      <c r="M356" s="3" t="b">
        <v>0</v>
      </c>
      <c r="N356" s="3" t="b">
        <v>1</v>
      </c>
      <c r="O356" s="3" t="b">
        <v>0</v>
      </c>
      <c r="P356" s="3" t="b">
        <v>0</v>
      </c>
      <c r="Q356" s="3" t="b">
        <v>0</v>
      </c>
      <c r="R356" s="3" t="b">
        <v>0</v>
      </c>
      <c r="S356" s="3" t="b">
        <v>0</v>
      </c>
      <c r="T356">
        <v>937</v>
      </c>
      <c r="U356">
        <v>34392</v>
      </c>
      <c r="V356">
        <v>1</v>
      </c>
      <c r="W356">
        <v>2649</v>
      </c>
      <c r="X356">
        <v>2648</v>
      </c>
    </row>
    <row r="357" spans="1:24" x14ac:dyDescent="0.2">
      <c r="A357" t="s">
        <v>1668</v>
      </c>
      <c r="B357" t="s">
        <v>58</v>
      </c>
      <c r="C357" t="s">
        <v>299</v>
      </c>
      <c r="D357" t="s">
        <v>1669</v>
      </c>
      <c r="G357" t="s">
        <v>1670</v>
      </c>
      <c r="H357" t="s">
        <v>1671</v>
      </c>
      <c r="I357" t="s">
        <v>309</v>
      </c>
      <c r="J357" t="s">
        <v>91</v>
      </c>
      <c r="K357" s="3" t="b">
        <v>1</v>
      </c>
      <c r="L357" s="3" t="b">
        <v>1</v>
      </c>
      <c r="M357" s="3" t="b">
        <v>0</v>
      </c>
      <c r="N357" s="3" t="b">
        <v>1</v>
      </c>
      <c r="O357" s="3" t="b">
        <v>0</v>
      </c>
      <c r="P357" s="3" t="b">
        <v>0</v>
      </c>
      <c r="Q357" s="3" t="b">
        <v>0</v>
      </c>
      <c r="R357" s="3" t="b">
        <v>0</v>
      </c>
      <c r="S357" s="3" t="b">
        <v>0</v>
      </c>
      <c r="T357">
        <v>680</v>
      </c>
      <c r="U357">
        <v>21283</v>
      </c>
      <c r="V357">
        <v>38</v>
      </c>
      <c r="W357">
        <v>1921</v>
      </c>
      <c r="X357">
        <v>1856</v>
      </c>
    </row>
    <row r="358" spans="1:24" x14ac:dyDescent="0.2">
      <c r="A358" t="s">
        <v>1672</v>
      </c>
      <c r="B358" t="s">
        <v>58</v>
      </c>
      <c r="C358" t="s">
        <v>1673</v>
      </c>
      <c r="D358" t="s">
        <v>1126</v>
      </c>
      <c r="G358" t="s">
        <v>1674</v>
      </c>
      <c r="H358" t="s">
        <v>1675</v>
      </c>
      <c r="I358" t="s">
        <v>1676</v>
      </c>
      <c r="J358" t="s">
        <v>91</v>
      </c>
      <c r="K358" s="3" t="b">
        <v>1</v>
      </c>
      <c r="L358" s="3" t="b">
        <v>1</v>
      </c>
      <c r="M358" s="3" t="b">
        <v>0</v>
      </c>
      <c r="N358" s="3" t="b">
        <v>1</v>
      </c>
      <c r="O358" s="3" t="b">
        <v>0</v>
      </c>
      <c r="P358" s="3" t="b">
        <v>0</v>
      </c>
      <c r="Q358" s="3" t="b">
        <v>0</v>
      </c>
      <c r="R358" s="3" t="b">
        <v>0</v>
      </c>
      <c r="S358" s="3" t="b">
        <v>0</v>
      </c>
      <c r="T358">
        <v>3684</v>
      </c>
      <c r="U358">
        <v>157024</v>
      </c>
      <c r="V358">
        <v>1</v>
      </c>
      <c r="W358">
        <v>13249</v>
      </c>
      <c r="X358">
        <v>13248</v>
      </c>
    </row>
    <row r="359" spans="1:24" x14ac:dyDescent="0.2">
      <c r="A359" t="s">
        <v>1677</v>
      </c>
      <c r="B359" t="s">
        <v>58</v>
      </c>
      <c r="C359" t="s">
        <v>892</v>
      </c>
      <c r="G359" t="s">
        <v>1170</v>
      </c>
      <c r="H359" t="s">
        <v>1171</v>
      </c>
      <c r="I359" t="s">
        <v>1172</v>
      </c>
      <c r="J359" t="s">
        <v>63</v>
      </c>
      <c r="K359" s="3" t="b">
        <v>1</v>
      </c>
      <c r="L359" s="3" t="b">
        <v>0</v>
      </c>
      <c r="M359" s="3" t="b">
        <v>0</v>
      </c>
      <c r="N359" s="3" t="b">
        <v>0</v>
      </c>
      <c r="O359" s="3" t="b">
        <v>0</v>
      </c>
      <c r="P359" s="3" t="b">
        <v>0</v>
      </c>
      <c r="Q359" s="3" t="b">
        <v>0</v>
      </c>
      <c r="R359" s="3" t="b">
        <v>0</v>
      </c>
      <c r="S359" s="3" t="b">
        <v>0</v>
      </c>
      <c r="T359">
        <v>2974</v>
      </c>
      <c r="U359">
        <v>100900</v>
      </c>
      <c r="V359">
        <v>2</v>
      </c>
      <c r="W359">
        <v>8822</v>
      </c>
      <c r="X359">
        <v>8821</v>
      </c>
    </row>
    <row r="360" spans="1:24" x14ac:dyDescent="0.2">
      <c r="A360" t="s">
        <v>1678</v>
      </c>
      <c r="B360" t="s">
        <v>24</v>
      </c>
      <c r="C360" t="s">
        <v>425</v>
      </c>
      <c r="D360" t="s">
        <v>741</v>
      </c>
      <c r="G360" t="s">
        <v>1679</v>
      </c>
      <c r="H360" t="s">
        <v>1680</v>
      </c>
      <c r="I360" t="s">
        <v>745</v>
      </c>
      <c r="J360" t="s">
        <v>91</v>
      </c>
      <c r="K360" s="3" t="b">
        <v>1</v>
      </c>
      <c r="L360" s="3" t="b">
        <v>0</v>
      </c>
      <c r="M360" s="3" t="b">
        <v>0</v>
      </c>
      <c r="N360" s="3" t="b">
        <v>0</v>
      </c>
      <c r="O360" s="3" t="b">
        <v>0</v>
      </c>
      <c r="P360" s="3" t="b">
        <v>0</v>
      </c>
      <c r="Q360" s="3" t="b">
        <v>0</v>
      </c>
      <c r="R360" s="3" t="b">
        <v>0</v>
      </c>
      <c r="S360" s="3" t="b">
        <v>0</v>
      </c>
      <c r="T360">
        <v>3935</v>
      </c>
      <c r="U360">
        <v>201480</v>
      </c>
      <c r="V360">
        <v>1</v>
      </c>
      <c r="W360">
        <v>13777</v>
      </c>
      <c r="X360">
        <v>13776</v>
      </c>
    </row>
    <row r="361" spans="1:24" x14ac:dyDescent="0.2">
      <c r="A361" t="s">
        <v>1681</v>
      </c>
      <c r="B361" t="s">
        <v>58</v>
      </c>
      <c r="C361" t="s">
        <v>1682</v>
      </c>
      <c r="G361" t="s">
        <v>72</v>
      </c>
      <c r="H361" t="s">
        <v>73</v>
      </c>
      <c r="I361" t="s">
        <v>74</v>
      </c>
      <c r="J361" t="s">
        <v>29</v>
      </c>
      <c r="K361" s="3" t="b">
        <v>1</v>
      </c>
      <c r="L361" s="3" t="b">
        <v>1</v>
      </c>
      <c r="M361" s="3" t="b">
        <v>1</v>
      </c>
      <c r="N361" s="3" t="b">
        <v>1</v>
      </c>
      <c r="O361" s="3" t="b">
        <v>1</v>
      </c>
      <c r="P361" s="3" t="b">
        <v>0</v>
      </c>
      <c r="Q361" s="3" t="b">
        <v>0</v>
      </c>
      <c r="R361" s="3" t="b">
        <v>0</v>
      </c>
      <c r="S361" s="3" t="b">
        <v>0</v>
      </c>
      <c r="T361">
        <v>870</v>
      </c>
      <c r="U361">
        <v>29747</v>
      </c>
      <c r="V361">
        <v>1</v>
      </c>
      <c r="W361">
        <v>2551</v>
      </c>
      <c r="X361">
        <v>2550</v>
      </c>
    </row>
    <row r="362" spans="1:24" x14ac:dyDescent="0.2">
      <c r="A362" t="s">
        <v>1683</v>
      </c>
      <c r="B362" t="s">
        <v>24</v>
      </c>
      <c r="C362" t="s">
        <v>140</v>
      </c>
      <c r="G362" t="s">
        <v>670</v>
      </c>
      <c r="H362" t="s">
        <v>671</v>
      </c>
      <c r="I362" t="s">
        <v>672</v>
      </c>
      <c r="J362" t="s">
        <v>29</v>
      </c>
      <c r="K362" s="3" t="b">
        <v>1</v>
      </c>
      <c r="L362" s="3" t="b">
        <v>0</v>
      </c>
      <c r="M362" s="3" t="b">
        <v>0</v>
      </c>
      <c r="N362" s="3" t="b">
        <v>0</v>
      </c>
      <c r="O362" s="3" t="b">
        <v>0</v>
      </c>
      <c r="P362" s="3" t="b">
        <v>0</v>
      </c>
      <c r="Q362" s="3" t="b">
        <v>0</v>
      </c>
      <c r="R362" s="3" t="b">
        <v>0</v>
      </c>
      <c r="S362" s="3" t="b">
        <v>0</v>
      </c>
      <c r="T362">
        <v>1275</v>
      </c>
      <c r="U362">
        <v>48921</v>
      </c>
      <c r="V362">
        <v>5</v>
      </c>
      <c r="W362">
        <v>3440</v>
      </c>
      <c r="X362">
        <v>3439</v>
      </c>
    </row>
    <row r="363" spans="1:24" x14ac:dyDescent="0.2">
      <c r="A363" t="s">
        <v>1684</v>
      </c>
      <c r="B363" t="s">
        <v>58</v>
      </c>
      <c r="C363" t="s">
        <v>1685</v>
      </c>
      <c r="G363" t="s">
        <v>1686</v>
      </c>
      <c r="H363" t="s">
        <v>1687</v>
      </c>
      <c r="I363" t="s">
        <v>1688</v>
      </c>
      <c r="J363" t="s">
        <v>91</v>
      </c>
      <c r="K363" s="3" t="b">
        <v>1</v>
      </c>
      <c r="L363" s="3" t="b">
        <v>0</v>
      </c>
      <c r="M363" s="3" t="b">
        <v>0</v>
      </c>
      <c r="N363" s="3" t="b">
        <v>0</v>
      </c>
      <c r="O363" s="3" t="b">
        <v>0</v>
      </c>
      <c r="P363" s="3" t="b">
        <v>0</v>
      </c>
      <c r="Q363" s="3" t="b">
        <v>0</v>
      </c>
      <c r="R363" s="3" t="b">
        <v>0</v>
      </c>
      <c r="S363" s="3" t="b">
        <v>0</v>
      </c>
      <c r="T363">
        <v>1005</v>
      </c>
      <c r="U363">
        <v>35685</v>
      </c>
      <c r="V363">
        <v>1</v>
      </c>
      <c r="W363">
        <v>2731</v>
      </c>
      <c r="X363">
        <v>2730</v>
      </c>
    </row>
    <row r="364" spans="1:24" x14ac:dyDescent="0.2">
      <c r="A364" t="s">
        <v>1689</v>
      </c>
      <c r="B364" t="s">
        <v>31</v>
      </c>
      <c r="C364" t="s">
        <v>1690</v>
      </c>
      <c r="G364" t="s">
        <v>33</v>
      </c>
      <c r="H364" t="s">
        <v>34</v>
      </c>
      <c r="I364" t="s">
        <v>35</v>
      </c>
      <c r="J364" t="s">
        <v>29</v>
      </c>
      <c r="K364" s="3" t="b">
        <v>1</v>
      </c>
      <c r="L364" s="3" t="b">
        <v>1</v>
      </c>
      <c r="M364" s="3" t="b">
        <v>1</v>
      </c>
      <c r="N364" s="3" t="b">
        <v>1</v>
      </c>
      <c r="O364" s="3" t="b">
        <v>0</v>
      </c>
      <c r="P364" s="3" t="b">
        <v>0</v>
      </c>
      <c r="Q364" s="3" t="b">
        <v>0</v>
      </c>
      <c r="R364" s="3" t="b">
        <v>0</v>
      </c>
      <c r="S364" s="3" t="b">
        <v>0</v>
      </c>
      <c r="T364">
        <v>3745</v>
      </c>
      <c r="U364">
        <v>163227</v>
      </c>
      <c r="V364">
        <v>1</v>
      </c>
      <c r="W364">
        <v>13361</v>
      </c>
      <c r="X364">
        <v>13360</v>
      </c>
    </row>
    <row r="365" spans="1:24" x14ac:dyDescent="0.2">
      <c r="A365" t="s">
        <v>1691</v>
      </c>
      <c r="B365" t="s">
        <v>58</v>
      </c>
      <c r="C365" t="s">
        <v>437</v>
      </c>
      <c r="G365" t="s">
        <v>1287</v>
      </c>
      <c r="H365" t="s">
        <v>1288</v>
      </c>
      <c r="I365" t="s">
        <v>1289</v>
      </c>
      <c r="J365" t="s">
        <v>1290</v>
      </c>
      <c r="K365" s="3" t="b">
        <v>1</v>
      </c>
      <c r="L365" s="3" t="b">
        <v>0</v>
      </c>
      <c r="M365" s="3" t="b">
        <v>0</v>
      </c>
      <c r="N365" s="3" t="b">
        <v>0</v>
      </c>
      <c r="O365" s="3" t="b">
        <v>0</v>
      </c>
      <c r="P365" s="3" t="b">
        <v>0</v>
      </c>
      <c r="Q365" s="3" t="b">
        <v>0</v>
      </c>
      <c r="R365" s="3" t="b">
        <v>0</v>
      </c>
      <c r="S365" s="3" t="b">
        <v>0</v>
      </c>
      <c r="T365">
        <v>3571</v>
      </c>
      <c r="U365">
        <v>142988</v>
      </c>
      <c r="V365">
        <v>1</v>
      </c>
      <c r="W365">
        <v>12726</v>
      </c>
      <c r="X365">
        <v>12725</v>
      </c>
    </row>
    <row r="366" spans="1:24" x14ac:dyDescent="0.2">
      <c r="A366" t="s">
        <v>1692</v>
      </c>
      <c r="B366" t="s">
        <v>31</v>
      </c>
      <c r="C366" t="s">
        <v>740</v>
      </c>
      <c r="D366" t="s">
        <v>1045</v>
      </c>
      <c r="G366" t="s">
        <v>100</v>
      </c>
      <c r="H366" t="s">
        <v>101</v>
      </c>
      <c r="I366" t="s">
        <v>102</v>
      </c>
      <c r="J366" t="s">
        <v>91</v>
      </c>
      <c r="K366" s="3" t="b">
        <v>1</v>
      </c>
      <c r="L366" s="3" t="b">
        <v>1</v>
      </c>
      <c r="M366" s="3" t="b">
        <v>0</v>
      </c>
      <c r="N366" s="3" t="b">
        <v>1</v>
      </c>
      <c r="O366" s="3" t="b">
        <v>0</v>
      </c>
      <c r="P366" s="3" t="b">
        <v>0</v>
      </c>
      <c r="Q366" s="3" t="b">
        <v>0</v>
      </c>
      <c r="R366" s="3" t="b">
        <v>0</v>
      </c>
      <c r="S366" s="3" t="b">
        <v>0</v>
      </c>
      <c r="T366">
        <v>2265</v>
      </c>
      <c r="U366">
        <v>77688</v>
      </c>
      <c r="V366">
        <v>2</v>
      </c>
      <c r="W366">
        <v>7043</v>
      </c>
      <c r="X366">
        <v>7042</v>
      </c>
    </row>
    <row r="367" spans="1:24" x14ac:dyDescent="0.2">
      <c r="A367" t="s">
        <v>1693</v>
      </c>
      <c r="B367" t="s">
        <v>24</v>
      </c>
      <c r="C367" t="s">
        <v>246</v>
      </c>
      <c r="F367" t="s">
        <v>1694</v>
      </c>
      <c r="G367" t="s">
        <v>1695</v>
      </c>
      <c r="H367" t="s">
        <v>1696</v>
      </c>
      <c r="I367" t="s">
        <v>539</v>
      </c>
      <c r="J367" t="s">
        <v>29</v>
      </c>
      <c r="K367" s="3" t="b">
        <v>1</v>
      </c>
      <c r="L367" s="3" t="b">
        <v>0</v>
      </c>
      <c r="M367" s="3" t="b">
        <v>0</v>
      </c>
      <c r="N367" s="3" t="b">
        <v>0</v>
      </c>
      <c r="O367" s="3" t="b">
        <v>0</v>
      </c>
      <c r="P367" s="3" t="b">
        <v>0</v>
      </c>
      <c r="Q367" s="3" t="b">
        <v>0</v>
      </c>
      <c r="R367" s="3" t="b">
        <v>0</v>
      </c>
      <c r="S367" s="3" t="b">
        <v>0</v>
      </c>
      <c r="T367">
        <v>3343</v>
      </c>
      <c r="U367">
        <v>113256</v>
      </c>
      <c r="V367">
        <v>3</v>
      </c>
      <c r="W367">
        <v>11561</v>
      </c>
      <c r="X367">
        <v>11555</v>
      </c>
    </row>
    <row r="368" spans="1:24" x14ac:dyDescent="0.2">
      <c r="A368" t="s">
        <v>1697</v>
      </c>
      <c r="B368" t="s">
        <v>24</v>
      </c>
      <c r="C368" t="s">
        <v>1698</v>
      </c>
      <c r="D368" t="s">
        <v>1699</v>
      </c>
      <c r="F368" t="s">
        <v>1700</v>
      </c>
      <c r="G368" t="s">
        <v>565</v>
      </c>
      <c r="H368" t="s">
        <v>566</v>
      </c>
      <c r="I368" t="s">
        <v>567</v>
      </c>
      <c r="J368" t="s">
        <v>568</v>
      </c>
      <c r="K368" s="3" t="b">
        <v>1</v>
      </c>
      <c r="L368" s="3" t="b">
        <v>1</v>
      </c>
      <c r="M368" s="3" t="b">
        <v>0</v>
      </c>
      <c r="N368" s="3" t="b">
        <v>1</v>
      </c>
      <c r="O368" s="3" t="b">
        <v>1</v>
      </c>
      <c r="P368" s="3" t="b">
        <v>0</v>
      </c>
      <c r="Q368" s="3" t="b">
        <v>0</v>
      </c>
      <c r="R368" s="3" t="b">
        <v>0</v>
      </c>
      <c r="S368" s="3" t="b">
        <v>0</v>
      </c>
      <c r="T368">
        <v>1134</v>
      </c>
      <c r="U368">
        <v>40772</v>
      </c>
      <c r="V368">
        <v>1</v>
      </c>
      <c r="W368">
        <v>2992</v>
      </c>
      <c r="X368">
        <v>2991</v>
      </c>
    </row>
    <row r="369" spans="1:24" x14ac:dyDescent="0.2">
      <c r="A369" t="s">
        <v>1701</v>
      </c>
      <c r="B369" t="s">
        <v>58</v>
      </c>
      <c r="C369" t="s">
        <v>37</v>
      </c>
      <c r="D369" t="s">
        <v>1702</v>
      </c>
      <c r="G369" t="s">
        <v>1703</v>
      </c>
      <c r="H369" t="s">
        <v>1704</v>
      </c>
      <c r="I369" t="s">
        <v>1705</v>
      </c>
      <c r="J369" t="s">
        <v>91</v>
      </c>
      <c r="K369" s="3" t="b">
        <v>1</v>
      </c>
      <c r="L369" s="3" t="b">
        <v>1</v>
      </c>
      <c r="M369" s="3" t="b">
        <v>0</v>
      </c>
      <c r="N369" s="3" t="b">
        <v>1</v>
      </c>
      <c r="O369" s="3" t="b">
        <v>1</v>
      </c>
      <c r="P369" s="3" t="b">
        <v>0</v>
      </c>
      <c r="Q369" s="3" t="b">
        <v>0</v>
      </c>
      <c r="R369" s="3" t="b">
        <v>0</v>
      </c>
      <c r="S369" s="3" t="b">
        <v>0</v>
      </c>
      <c r="T369">
        <v>999</v>
      </c>
      <c r="U369">
        <v>35685</v>
      </c>
      <c r="V369">
        <v>1</v>
      </c>
      <c r="W369">
        <v>2737</v>
      </c>
      <c r="X369">
        <v>2736</v>
      </c>
    </row>
    <row r="370" spans="1:24" x14ac:dyDescent="0.2">
      <c r="A370" t="s">
        <v>1706</v>
      </c>
      <c r="B370" t="s">
        <v>31</v>
      </c>
      <c r="C370" t="s">
        <v>828</v>
      </c>
      <c r="D370" t="s">
        <v>1372</v>
      </c>
      <c r="G370" t="s">
        <v>1373</v>
      </c>
      <c r="H370" t="s">
        <v>1374</v>
      </c>
      <c r="I370" t="s">
        <v>545</v>
      </c>
      <c r="J370" t="s">
        <v>1375</v>
      </c>
      <c r="K370" s="3" t="b">
        <v>1</v>
      </c>
      <c r="L370" s="3" t="b">
        <v>0</v>
      </c>
      <c r="M370" s="3" t="b">
        <v>0</v>
      </c>
      <c r="N370" s="3" t="b">
        <v>0</v>
      </c>
      <c r="O370" s="3" t="b">
        <v>0</v>
      </c>
      <c r="P370" s="3" t="b">
        <v>0</v>
      </c>
      <c r="Q370" s="3" t="b">
        <v>0</v>
      </c>
      <c r="R370" s="3" t="b">
        <v>0</v>
      </c>
      <c r="S370" s="3" t="b">
        <v>0</v>
      </c>
      <c r="T370">
        <v>548</v>
      </c>
      <c r="U370">
        <v>20474</v>
      </c>
      <c r="V370">
        <v>1</v>
      </c>
      <c r="W370">
        <v>1716</v>
      </c>
      <c r="X370">
        <v>1715</v>
      </c>
    </row>
    <row r="371" spans="1:24" x14ac:dyDescent="0.2">
      <c r="A371" t="s">
        <v>1707</v>
      </c>
      <c r="B371" t="s">
        <v>58</v>
      </c>
      <c r="C371" t="s">
        <v>1708</v>
      </c>
      <c r="G371" t="s">
        <v>487</v>
      </c>
      <c r="H371" t="s">
        <v>488</v>
      </c>
      <c r="I371" t="s">
        <v>489</v>
      </c>
      <c r="J371" t="s">
        <v>1709</v>
      </c>
      <c r="K371" s="3" t="b">
        <v>1</v>
      </c>
      <c r="L371" s="3" t="b">
        <v>0</v>
      </c>
      <c r="M371" s="3" t="b">
        <v>0</v>
      </c>
      <c r="N371" s="3" t="b">
        <v>0</v>
      </c>
      <c r="O371" s="3" t="b">
        <v>0</v>
      </c>
      <c r="P371" s="3" t="b">
        <v>0</v>
      </c>
      <c r="Q371" s="3" t="b">
        <v>0</v>
      </c>
      <c r="R371" s="3" t="b">
        <v>0</v>
      </c>
      <c r="S371" s="3" t="b">
        <v>0</v>
      </c>
      <c r="T371">
        <v>2078</v>
      </c>
      <c r="U371">
        <v>72168</v>
      </c>
      <c r="V371">
        <v>1</v>
      </c>
      <c r="W371">
        <v>6460</v>
      </c>
      <c r="X371">
        <v>6459</v>
      </c>
    </row>
    <row r="372" spans="1:24" x14ac:dyDescent="0.2">
      <c r="A372" t="s">
        <v>1710</v>
      </c>
      <c r="B372" t="s">
        <v>24</v>
      </c>
      <c r="C372" t="s">
        <v>1711</v>
      </c>
      <c r="G372" t="s">
        <v>1712</v>
      </c>
      <c r="H372" t="s">
        <v>1713</v>
      </c>
      <c r="I372" t="s">
        <v>331</v>
      </c>
      <c r="J372" t="s">
        <v>29</v>
      </c>
      <c r="K372" s="3" t="b">
        <v>1</v>
      </c>
      <c r="L372" s="3" t="b">
        <v>1</v>
      </c>
      <c r="M372" s="3" t="b">
        <v>0</v>
      </c>
      <c r="N372" s="3" t="b">
        <v>1</v>
      </c>
      <c r="O372" s="3" t="b">
        <v>1</v>
      </c>
      <c r="P372" s="3" t="b">
        <v>0</v>
      </c>
      <c r="Q372" s="3" t="b">
        <v>0</v>
      </c>
      <c r="R372" s="3" t="b">
        <v>0</v>
      </c>
      <c r="S372" s="3" t="b">
        <v>0</v>
      </c>
      <c r="T372">
        <v>41</v>
      </c>
      <c r="U372">
        <v>2403</v>
      </c>
      <c r="V372">
        <v>1</v>
      </c>
      <c r="W372">
        <v>145</v>
      </c>
      <c r="X372">
        <v>144</v>
      </c>
    </row>
    <row r="373" spans="1:24" x14ac:dyDescent="0.2">
      <c r="A373" t="s">
        <v>1714</v>
      </c>
      <c r="B373" t="s">
        <v>24</v>
      </c>
      <c r="C373" t="s">
        <v>484</v>
      </c>
      <c r="F373" t="s">
        <v>1715</v>
      </c>
      <c r="G373" t="s">
        <v>1716</v>
      </c>
      <c r="H373" t="s">
        <v>1717</v>
      </c>
      <c r="I373" t="s">
        <v>1718</v>
      </c>
      <c r="J373" t="s">
        <v>29</v>
      </c>
      <c r="K373" s="3" t="b">
        <v>1</v>
      </c>
      <c r="L373" s="3" t="b">
        <v>0</v>
      </c>
      <c r="M373" s="3" t="b">
        <v>0</v>
      </c>
      <c r="N373" s="3" t="b">
        <v>0</v>
      </c>
      <c r="O373" s="3" t="b">
        <v>0</v>
      </c>
      <c r="P373" s="3" t="b">
        <v>0</v>
      </c>
      <c r="Q373" s="3" t="b">
        <v>0</v>
      </c>
      <c r="R373" s="3" t="b">
        <v>0</v>
      </c>
      <c r="S373" s="3" t="b">
        <v>0</v>
      </c>
      <c r="T373">
        <v>720</v>
      </c>
      <c r="U373">
        <v>23336</v>
      </c>
      <c r="V373">
        <v>1</v>
      </c>
      <c r="W373">
        <v>2096</v>
      </c>
      <c r="X373">
        <v>2095</v>
      </c>
    </row>
    <row r="374" spans="1:24" x14ac:dyDescent="0.2">
      <c r="A374" t="s">
        <v>1719</v>
      </c>
      <c r="B374" t="s">
        <v>31</v>
      </c>
      <c r="C374" t="s">
        <v>1720</v>
      </c>
      <c r="G374" t="s">
        <v>860</v>
      </c>
      <c r="H374" t="s">
        <v>861</v>
      </c>
      <c r="I374" t="s">
        <v>804</v>
      </c>
      <c r="J374" t="s">
        <v>29</v>
      </c>
      <c r="K374" s="3" t="b">
        <v>1</v>
      </c>
      <c r="L374" s="3" t="b">
        <v>1</v>
      </c>
      <c r="M374" s="3" t="b">
        <v>1</v>
      </c>
      <c r="N374" s="3" t="b">
        <v>1</v>
      </c>
      <c r="O374" s="3" t="b">
        <v>1</v>
      </c>
      <c r="P374" s="3" t="b">
        <v>1</v>
      </c>
      <c r="Q374" s="3" t="b">
        <v>0</v>
      </c>
      <c r="R374" s="3" t="b">
        <v>0</v>
      </c>
      <c r="S374" s="3" t="b">
        <v>1</v>
      </c>
      <c r="T374">
        <v>2863</v>
      </c>
      <c r="U374">
        <v>97877</v>
      </c>
      <c r="V374">
        <v>1</v>
      </c>
      <c r="W374">
        <v>8515</v>
      </c>
      <c r="X374">
        <v>8514</v>
      </c>
    </row>
    <row r="375" spans="1:24" x14ac:dyDescent="0.2">
      <c r="A375" t="s">
        <v>1721</v>
      </c>
      <c r="B375" t="s">
        <v>51</v>
      </c>
      <c r="C375" t="s">
        <v>1722</v>
      </c>
      <c r="E375" t="s">
        <v>1723</v>
      </c>
      <c r="G375" t="s">
        <v>1724</v>
      </c>
      <c r="H375" t="s">
        <v>1725</v>
      </c>
      <c r="I375" t="s">
        <v>1726</v>
      </c>
      <c r="J375" t="s">
        <v>1727</v>
      </c>
      <c r="K375" s="3" t="b">
        <v>1</v>
      </c>
      <c r="L375" s="3" t="b">
        <v>1</v>
      </c>
      <c r="M375" s="3" t="b">
        <v>0</v>
      </c>
      <c r="N375" s="3" t="b">
        <v>1</v>
      </c>
      <c r="O375" s="3" t="b">
        <v>1</v>
      </c>
      <c r="P375" s="3" t="b">
        <v>0</v>
      </c>
      <c r="Q375" s="3" t="b">
        <v>0</v>
      </c>
      <c r="R375" s="3" t="b">
        <v>0</v>
      </c>
      <c r="S375" s="3" t="b">
        <v>0</v>
      </c>
      <c r="T375">
        <v>3347</v>
      </c>
      <c r="U375">
        <v>114374</v>
      </c>
      <c r="V375">
        <v>1</v>
      </c>
      <c r="W375">
        <v>11892</v>
      </c>
      <c r="X375">
        <v>11891</v>
      </c>
    </row>
    <row r="376" spans="1:24" x14ac:dyDescent="0.2">
      <c r="A376" t="s">
        <v>1728</v>
      </c>
      <c r="B376" t="s">
        <v>58</v>
      </c>
      <c r="C376" t="s">
        <v>1729</v>
      </c>
      <c r="G376" t="s">
        <v>1730</v>
      </c>
      <c r="H376" t="s">
        <v>1731</v>
      </c>
      <c r="I376" t="s">
        <v>102</v>
      </c>
      <c r="J376" t="s">
        <v>29</v>
      </c>
      <c r="K376" s="3" t="b">
        <v>1</v>
      </c>
      <c r="L376" s="3" t="b">
        <v>0</v>
      </c>
      <c r="M376" s="3" t="b">
        <v>0</v>
      </c>
      <c r="N376" s="3" t="b">
        <v>0</v>
      </c>
      <c r="O376" s="3" t="b">
        <v>0</v>
      </c>
      <c r="P376" s="3" t="b">
        <v>0</v>
      </c>
      <c r="Q376" s="3" t="b">
        <v>0</v>
      </c>
      <c r="R376" s="3" t="b">
        <v>0</v>
      </c>
      <c r="S376" s="3" t="b">
        <v>0</v>
      </c>
      <c r="T376">
        <v>2265</v>
      </c>
      <c r="U376">
        <v>77688</v>
      </c>
      <c r="V376">
        <v>2</v>
      </c>
      <c r="W376">
        <v>7043</v>
      </c>
      <c r="X376">
        <v>7042</v>
      </c>
    </row>
    <row r="377" spans="1:24" x14ac:dyDescent="0.2">
      <c r="A377" t="s">
        <v>1732</v>
      </c>
      <c r="B377" t="s">
        <v>31</v>
      </c>
      <c r="C377" t="s">
        <v>1733</v>
      </c>
      <c r="G377" t="s">
        <v>329</v>
      </c>
      <c r="H377" t="s">
        <v>330</v>
      </c>
      <c r="I377" t="s">
        <v>331</v>
      </c>
      <c r="J377" t="s">
        <v>29</v>
      </c>
      <c r="K377" s="3" t="b">
        <v>1</v>
      </c>
      <c r="L377" s="3" t="b">
        <v>1</v>
      </c>
      <c r="M377" s="3" t="b">
        <v>0</v>
      </c>
      <c r="N377" s="3" t="b">
        <v>1</v>
      </c>
      <c r="O377" s="3" t="b">
        <v>1</v>
      </c>
      <c r="P377" s="3" t="b">
        <v>0</v>
      </c>
      <c r="Q377" s="3" t="b">
        <v>0</v>
      </c>
      <c r="R377" s="3" t="b">
        <v>0</v>
      </c>
      <c r="S377" s="3" t="b">
        <v>0</v>
      </c>
      <c r="T377">
        <v>41</v>
      </c>
      <c r="U377">
        <v>2403</v>
      </c>
      <c r="V377">
        <v>1</v>
      </c>
      <c r="W377">
        <v>145</v>
      </c>
      <c r="X377">
        <v>144</v>
      </c>
    </row>
    <row r="378" spans="1:24" x14ac:dyDescent="0.2">
      <c r="A378" t="s">
        <v>1734</v>
      </c>
      <c r="B378" t="s">
        <v>51</v>
      </c>
      <c r="C378" t="s">
        <v>1735</v>
      </c>
      <c r="D378" t="s">
        <v>1736</v>
      </c>
      <c r="E378" t="s">
        <v>1737</v>
      </c>
      <c r="G378" t="s">
        <v>1738</v>
      </c>
      <c r="H378" t="s">
        <v>1739</v>
      </c>
      <c r="I378" t="s">
        <v>1676</v>
      </c>
      <c r="J378" t="s">
        <v>91</v>
      </c>
      <c r="K378" s="3" t="b">
        <v>1</v>
      </c>
      <c r="L378" s="3" t="b">
        <v>1</v>
      </c>
      <c r="M378" s="3" t="b">
        <v>0</v>
      </c>
      <c r="N378" s="3" t="b">
        <v>1</v>
      </c>
      <c r="O378" s="3" t="b">
        <v>0</v>
      </c>
      <c r="P378" s="3" t="b">
        <v>0</v>
      </c>
      <c r="Q378" s="3" t="b">
        <v>0</v>
      </c>
      <c r="R378" s="3" t="b">
        <v>0</v>
      </c>
      <c r="S378" s="3" t="b">
        <v>0</v>
      </c>
      <c r="T378">
        <v>3684</v>
      </c>
      <c r="U378">
        <v>157024</v>
      </c>
      <c r="V378">
        <v>1</v>
      </c>
      <c r="W378">
        <v>13249</v>
      </c>
      <c r="X378">
        <v>13248</v>
      </c>
    </row>
    <row r="379" spans="1:24" x14ac:dyDescent="0.2">
      <c r="A379" t="s">
        <v>1740</v>
      </c>
      <c r="B379" t="s">
        <v>31</v>
      </c>
      <c r="C379" t="s">
        <v>1741</v>
      </c>
      <c r="G379" t="s">
        <v>1742</v>
      </c>
      <c r="H379" t="s">
        <v>1743</v>
      </c>
      <c r="I379" t="s">
        <v>1744</v>
      </c>
      <c r="J379" t="s">
        <v>29</v>
      </c>
      <c r="K379" s="3" t="b">
        <v>1</v>
      </c>
      <c r="L379" s="3" t="b">
        <v>1</v>
      </c>
      <c r="M379" s="3" t="b">
        <v>0</v>
      </c>
      <c r="N379" s="3" t="b">
        <v>1</v>
      </c>
      <c r="O379" s="3" t="b">
        <v>0</v>
      </c>
      <c r="P379" s="3" t="b">
        <v>0</v>
      </c>
      <c r="Q379" s="3" t="b">
        <v>0</v>
      </c>
      <c r="R379" s="3" t="b">
        <v>0</v>
      </c>
      <c r="S379" s="3" t="b">
        <v>0</v>
      </c>
      <c r="T379">
        <v>2137</v>
      </c>
      <c r="U379">
        <v>74928</v>
      </c>
      <c r="V379">
        <v>1</v>
      </c>
      <c r="W379">
        <v>6722</v>
      </c>
      <c r="X379">
        <v>6721</v>
      </c>
    </row>
    <row r="380" spans="1:24" x14ac:dyDescent="0.2">
      <c r="A380" t="s">
        <v>1745</v>
      </c>
      <c r="B380" t="s">
        <v>24</v>
      </c>
      <c r="C380" t="s">
        <v>1746</v>
      </c>
      <c r="D380" t="s">
        <v>1747</v>
      </c>
      <c r="F380" t="s">
        <v>1748</v>
      </c>
      <c r="G380" t="s">
        <v>1749</v>
      </c>
      <c r="H380" t="s">
        <v>1750</v>
      </c>
      <c r="I380" t="s">
        <v>1751</v>
      </c>
      <c r="J380" t="s">
        <v>1752</v>
      </c>
      <c r="K380" s="3" t="b">
        <v>1</v>
      </c>
      <c r="L380" s="3" t="b">
        <v>0</v>
      </c>
      <c r="M380" s="3" t="b">
        <v>0</v>
      </c>
      <c r="N380" s="3" t="b">
        <v>0</v>
      </c>
      <c r="O380" s="3" t="b">
        <v>0</v>
      </c>
      <c r="P380" s="3" t="b">
        <v>0</v>
      </c>
      <c r="Q380" s="3" t="b">
        <v>0</v>
      </c>
      <c r="R380" s="3" t="b">
        <v>0</v>
      </c>
      <c r="S380" s="3" t="b">
        <v>0</v>
      </c>
      <c r="T380">
        <v>85</v>
      </c>
      <c r="U380">
        <v>6567</v>
      </c>
      <c r="V380">
        <v>1</v>
      </c>
      <c r="W380">
        <v>304</v>
      </c>
      <c r="X380">
        <v>303</v>
      </c>
    </row>
    <row r="381" spans="1:24" x14ac:dyDescent="0.2">
      <c r="A381" t="s">
        <v>1753</v>
      </c>
      <c r="B381" t="s">
        <v>58</v>
      </c>
      <c r="C381" t="s">
        <v>1754</v>
      </c>
      <c r="G381" t="s">
        <v>687</v>
      </c>
      <c r="H381" t="s">
        <v>688</v>
      </c>
      <c r="I381" t="s">
        <v>84</v>
      </c>
      <c r="J381" t="s">
        <v>85</v>
      </c>
      <c r="K381" s="3" t="b">
        <v>1</v>
      </c>
      <c r="L381" s="3" t="b">
        <v>0</v>
      </c>
      <c r="M381" s="3" t="b">
        <v>0</v>
      </c>
      <c r="N381" s="3" t="b">
        <v>0</v>
      </c>
      <c r="O381" s="3" t="b">
        <v>0</v>
      </c>
      <c r="P381" s="3" t="b">
        <v>0</v>
      </c>
      <c r="Q381" s="3" t="b">
        <v>0</v>
      </c>
      <c r="R381" s="3" t="b">
        <v>0</v>
      </c>
      <c r="S381" s="3" t="b">
        <v>0</v>
      </c>
      <c r="T381">
        <v>2994</v>
      </c>
      <c r="U381">
        <v>100900</v>
      </c>
      <c r="V381">
        <v>2</v>
      </c>
      <c r="W381">
        <v>8798</v>
      </c>
      <c r="X381">
        <v>8779</v>
      </c>
    </row>
    <row r="382" spans="1:24" x14ac:dyDescent="0.2">
      <c r="A382" t="s">
        <v>1755</v>
      </c>
      <c r="B382" t="s">
        <v>31</v>
      </c>
      <c r="C382" t="s">
        <v>1756</v>
      </c>
      <c r="G382" t="s">
        <v>1757</v>
      </c>
      <c r="H382" t="s">
        <v>1758</v>
      </c>
      <c r="I382" t="s">
        <v>1759</v>
      </c>
      <c r="J382" t="s">
        <v>29</v>
      </c>
      <c r="K382" s="3" t="b">
        <v>1</v>
      </c>
      <c r="L382" s="3" t="b">
        <v>1</v>
      </c>
      <c r="M382" s="3" t="b">
        <v>0</v>
      </c>
      <c r="N382" s="3" t="b">
        <v>1</v>
      </c>
      <c r="O382" s="3" t="b">
        <v>0</v>
      </c>
      <c r="P382" s="3" t="b">
        <v>0</v>
      </c>
      <c r="Q382" s="3" t="b">
        <v>0</v>
      </c>
      <c r="R382" s="3" t="b">
        <v>0</v>
      </c>
      <c r="S382" s="3" t="b">
        <v>0</v>
      </c>
      <c r="T382">
        <v>3724</v>
      </c>
      <c r="U382">
        <v>157633</v>
      </c>
      <c r="V382">
        <v>1</v>
      </c>
      <c r="W382">
        <v>13272</v>
      </c>
      <c r="X382">
        <v>13271</v>
      </c>
    </row>
    <row r="383" spans="1:24" x14ac:dyDescent="0.2">
      <c r="A383" t="s">
        <v>1760</v>
      </c>
      <c r="B383" t="s">
        <v>58</v>
      </c>
      <c r="C383" t="s">
        <v>260</v>
      </c>
      <c r="G383" t="s">
        <v>1761</v>
      </c>
      <c r="H383" t="s">
        <v>1762</v>
      </c>
      <c r="I383" t="s">
        <v>184</v>
      </c>
      <c r="J383" t="s">
        <v>29</v>
      </c>
      <c r="K383" s="3" t="b">
        <v>1</v>
      </c>
      <c r="L383" s="3" t="b">
        <v>0</v>
      </c>
      <c r="M383" s="3" t="b">
        <v>0</v>
      </c>
      <c r="N383" s="3" t="b">
        <v>0</v>
      </c>
      <c r="O383" s="3" t="b">
        <v>0</v>
      </c>
      <c r="P383" s="3" t="b">
        <v>0</v>
      </c>
      <c r="Q383" s="3" t="b">
        <v>0</v>
      </c>
      <c r="R383" s="3" t="b">
        <v>0</v>
      </c>
      <c r="S383" s="3" t="b">
        <v>0</v>
      </c>
      <c r="T383">
        <v>2930</v>
      </c>
      <c r="U383">
        <v>99225</v>
      </c>
      <c r="V383">
        <v>1</v>
      </c>
      <c r="W383">
        <v>8627</v>
      </c>
      <c r="X383">
        <v>8626</v>
      </c>
    </row>
    <row r="384" spans="1:24" x14ac:dyDescent="0.2">
      <c r="A384" t="s">
        <v>1763</v>
      </c>
      <c r="B384" t="s">
        <v>24</v>
      </c>
      <c r="C384" t="s">
        <v>771</v>
      </c>
      <c r="G384" t="s">
        <v>1712</v>
      </c>
      <c r="H384" t="s">
        <v>1713</v>
      </c>
      <c r="I384" t="s">
        <v>331</v>
      </c>
      <c r="J384" t="s">
        <v>29</v>
      </c>
      <c r="K384" s="3" t="b">
        <v>1</v>
      </c>
      <c r="L384" s="3" t="b">
        <v>0</v>
      </c>
      <c r="M384" s="3" t="b">
        <v>0</v>
      </c>
      <c r="N384" s="3" t="b">
        <v>0</v>
      </c>
      <c r="O384" s="3" t="b">
        <v>0</v>
      </c>
      <c r="P384" s="3" t="b">
        <v>0</v>
      </c>
      <c r="Q384" s="3" t="b">
        <v>0</v>
      </c>
      <c r="R384" s="3" t="b">
        <v>0</v>
      </c>
      <c r="S384" s="3" t="b">
        <v>0</v>
      </c>
      <c r="T384">
        <v>41</v>
      </c>
      <c r="U384">
        <v>2403</v>
      </c>
      <c r="V384">
        <v>1</v>
      </c>
      <c r="W384">
        <v>145</v>
      </c>
      <c r="X384">
        <v>144</v>
      </c>
    </row>
    <row r="385" spans="1:24" x14ac:dyDescent="0.2">
      <c r="A385" t="s">
        <v>1764</v>
      </c>
      <c r="B385" t="s">
        <v>24</v>
      </c>
      <c r="C385" t="s">
        <v>467</v>
      </c>
      <c r="G385" t="s">
        <v>1765</v>
      </c>
      <c r="H385" t="s">
        <v>1766</v>
      </c>
      <c r="I385" t="s">
        <v>1767</v>
      </c>
      <c r="J385" t="s">
        <v>29</v>
      </c>
      <c r="K385" s="3" t="b">
        <v>1</v>
      </c>
      <c r="L385" s="3" t="b">
        <v>1</v>
      </c>
      <c r="M385" s="3" t="b">
        <v>0</v>
      </c>
      <c r="N385" s="3" t="b">
        <v>1</v>
      </c>
      <c r="O385" s="3" t="b">
        <v>0</v>
      </c>
      <c r="P385" s="3" t="b">
        <v>0</v>
      </c>
      <c r="Q385" s="3" t="b">
        <v>0</v>
      </c>
      <c r="R385" s="3" t="b">
        <v>0</v>
      </c>
      <c r="S385" s="3" t="b">
        <v>0</v>
      </c>
      <c r="T385">
        <v>3215</v>
      </c>
      <c r="U385">
        <v>106057</v>
      </c>
      <c r="V385">
        <v>1</v>
      </c>
      <c r="W385">
        <v>10464</v>
      </c>
      <c r="X385">
        <v>10463</v>
      </c>
    </row>
    <row r="386" spans="1:24" x14ac:dyDescent="0.2">
      <c r="A386" t="s">
        <v>1768</v>
      </c>
      <c r="B386" t="s">
        <v>51</v>
      </c>
      <c r="C386" t="s">
        <v>1769</v>
      </c>
      <c r="D386" t="s">
        <v>1770</v>
      </c>
      <c r="E386" t="s">
        <v>1771</v>
      </c>
      <c r="G386" t="s">
        <v>1772</v>
      </c>
      <c r="H386" t="s">
        <v>1773</v>
      </c>
      <c r="I386" t="s">
        <v>1774</v>
      </c>
      <c r="J386" t="s">
        <v>91</v>
      </c>
      <c r="K386" s="3" t="b">
        <v>1</v>
      </c>
      <c r="L386" s="3" t="b">
        <v>1</v>
      </c>
      <c r="M386" s="3" t="b">
        <v>1</v>
      </c>
      <c r="N386" s="3" t="b">
        <v>1</v>
      </c>
      <c r="O386" s="3" t="b">
        <v>1</v>
      </c>
      <c r="P386" s="3" t="b">
        <v>1</v>
      </c>
      <c r="Q386" s="3" t="b">
        <v>0</v>
      </c>
      <c r="R386" s="3" t="b">
        <v>0</v>
      </c>
      <c r="S386" s="3" t="b">
        <v>1</v>
      </c>
      <c r="T386">
        <v>2868</v>
      </c>
      <c r="U386">
        <v>97877</v>
      </c>
      <c r="V386">
        <v>1</v>
      </c>
      <c r="W386">
        <v>8510</v>
      </c>
      <c r="X386">
        <v>8509</v>
      </c>
    </row>
    <row r="387" spans="1:24" ht="19" customHeight="1" x14ac:dyDescent="0.2">
      <c r="A387" t="s">
        <v>1775</v>
      </c>
      <c r="B387" t="s">
        <v>24</v>
      </c>
      <c r="C387" t="s">
        <v>646</v>
      </c>
      <c r="D387" t="s">
        <v>1776</v>
      </c>
      <c r="F387" t="s">
        <v>1777</v>
      </c>
      <c r="G387" t="s">
        <v>256</v>
      </c>
      <c r="H387" t="s">
        <v>257</v>
      </c>
      <c r="I387" t="s">
        <v>258</v>
      </c>
      <c r="J387" t="s">
        <v>91</v>
      </c>
      <c r="K387" s="3" t="b">
        <v>1</v>
      </c>
      <c r="L387" s="3" t="b">
        <v>0</v>
      </c>
      <c r="M387" s="3" t="b">
        <v>0</v>
      </c>
      <c r="N387" s="3" t="b">
        <v>0</v>
      </c>
      <c r="O387" s="3" t="b">
        <v>0</v>
      </c>
      <c r="P387" s="3" t="b">
        <v>0</v>
      </c>
      <c r="Q387" s="3" t="b">
        <v>0</v>
      </c>
      <c r="R387" s="3" t="b">
        <v>0</v>
      </c>
      <c r="S387" s="3" t="b">
        <v>0</v>
      </c>
      <c r="T387">
        <v>239</v>
      </c>
      <c r="U387">
        <v>11179</v>
      </c>
      <c r="V387">
        <v>1</v>
      </c>
      <c r="W387">
        <v>846</v>
      </c>
      <c r="X387">
        <v>845</v>
      </c>
    </row>
    <row r="388" spans="1:24" ht="16" customHeight="1" x14ac:dyDescent="0.2">
      <c r="A388" t="s">
        <v>1007</v>
      </c>
      <c r="B388" t="s">
        <v>24</v>
      </c>
      <c r="C388" t="s">
        <v>1778</v>
      </c>
      <c r="D388" t="s">
        <v>1779</v>
      </c>
      <c r="F388" t="s">
        <v>1780</v>
      </c>
      <c r="G388" t="s">
        <v>1007</v>
      </c>
      <c r="H388" t="s">
        <v>1008</v>
      </c>
      <c r="I388" t="s">
        <v>1009</v>
      </c>
      <c r="J388" t="s">
        <v>91</v>
      </c>
      <c r="K388" s="3" t="b">
        <v>1</v>
      </c>
      <c r="L388" s="3" t="b">
        <v>1</v>
      </c>
      <c r="M388" s="3" t="b">
        <v>1</v>
      </c>
      <c r="N388" s="3" t="b">
        <v>1</v>
      </c>
      <c r="O388" s="3" t="b">
        <v>1</v>
      </c>
      <c r="P388" s="3" t="b">
        <v>0</v>
      </c>
      <c r="Q388" s="3" t="b">
        <v>0</v>
      </c>
      <c r="R388" s="3" t="b">
        <v>0</v>
      </c>
      <c r="S388" s="3" t="b">
        <v>0</v>
      </c>
      <c r="T388">
        <v>766</v>
      </c>
      <c r="U388">
        <v>23507</v>
      </c>
      <c r="V388">
        <v>1</v>
      </c>
      <c r="W388">
        <v>2115</v>
      </c>
      <c r="X388">
        <v>2114</v>
      </c>
    </row>
    <row r="389" spans="1:24" x14ac:dyDescent="0.2">
      <c r="A389" t="s">
        <v>1781</v>
      </c>
      <c r="B389" t="s">
        <v>58</v>
      </c>
      <c r="C389" t="s">
        <v>1393</v>
      </c>
      <c r="G389" t="s">
        <v>360</v>
      </c>
      <c r="H389" t="s">
        <v>361</v>
      </c>
      <c r="I389" t="s">
        <v>362</v>
      </c>
      <c r="J389" t="s">
        <v>29</v>
      </c>
      <c r="K389" s="3" t="b">
        <v>1</v>
      </c>
      <c r="L389" s="3" t="b">
        <v>0</v>
      </c>
      <c r="M389" s="3" t="b">
        <v>0</v>
      </c>
      <c r="N389" s="3" t="b">
        <v>0</v>
      </c>
      <c r="O389" s="3" t="b">
        <v>0</v>
      </c>
      <c r="P389" s="3" t="b">
        <v>0</v>
      </c>
      <c r="Q389" s="3" t="b">
        <v>0</v>
      </c>
      <c r="R389" s="3" t="b">
        <v>0</v>
      </c>
      <c r="S389" s="3" t="b">
        <v>0</v>
      </c>
      <c r="T389">
        <v>1139</v>
      </c>
      <c r="U389">
        <v>41254</v>
      </c>
      <c r="V389">
        <v>1</v>
      </c>
      <c r="W389">
        <v>3068</v>
      </c>
      <c r="X389">
        <v>3067</v>
      </c>
    </row>
    <row r="390" spans="1:24" x14ac:dyDescent="0.2">
      <c r="A390" t="s">
        <v>1782</v>
      </c>
      <c r="B390" t="s">
        <v>58</v>
      </c>
      <c r="C390" t="s">
        <v>1783</v>
      </c>
      <c r="G390" t="s">
        <v>77</v>
      </c>
      <c r="H390" t="s">
        <v>78</v>
      </c>
      <c r="I390" t="s">
        <v>79</v>
      </c>
      <c r="J390" t="s">
        <v>29</v>
      </c>
      <c r="K390" s="3" t="b">
        <v>1</v>
      </c>
      <c r="L390" s="3" t="b">
        <v>0</v>
      </c>
      <c r="M390" s="3" t="b">
        <v>0</v>
      </c>
      <c r="N390" s="3" t="b">
        <v>0</v>
      </c>
      <c r="O390" s="3" t="b">
        <v>0</v>
      </c>
      <c r="P390" s="3" t="b">
        <v>0</v>
      </c>
      <c r="Q390" s="3" t="b">
        <v>0</v>
      </c>
      <c r="R390" s="3" t="b">
        <v>0</v>
      </c>
      <c r="S390" s="3" t="b">
        <v>0</v>
      </c>
      <c r="T390">
        <v>2932</v>
      </c>
      <c r="U390">
        <v>99225</v>
      </c>
      <c r="V390">
        <v>1</v>
      </c>
      <c r="W390">
        <v>8625</v>
      </c>
      <c r="X390">
        <v>8624</v>
      </c>
    </row>
    <row r="391" spans="1:24" x14ac:dyDescent="0.2">
      <c r="A391" t="s">
        <v>1784</v>
      </c>
      <c r="B391" t="s">
        <v>31</v>
      </c>
      <c r="C391" t="s">
        <v>868</v>
      </c>
      <c r="D391" t="s">
        <v>1785</v>
      </c>
      <c r="G391" t="s">
        <v>100</v>
      </c>
      <c r="H391" t="s">
        <v>101</v>
      </c>
      <c r="I391" t="s">
        <v>102</v>
      </c>
      <c r="J391" t="s">
        <v>91</v>
      </c>
      <c r="K391" s="3" t="b">
        <v>1</v>
      </c>
      <c r="L391" s="3" t="b">
        <v>1</v>
      </c>
      <c r="M391" s="3" t="b">
        <v>0</v>
      </c>
      <c r="N391" s="3" t="b">
        <v>1</v>
      </c>
      <c r="O391" s="3" t="b">
        <v>0</v>
      </c>
      <c r="P391" s="3" t="b">
        <v>0</v>
      </c>
      <c r="Q391" s="3" t="b">
        <v>0</v>
      </c>
      <c r="R391" s="3" t="b">
        <v>0</v>
      </c>
      <c r="S391" s="3" t="b">
        <v>0</v>
      </c>
      <c r="T391">
        <v>2265</v>
      </c>
      <c r="U391">
        <v>77688</v>
      </c>
      <c r="V391">
        <v>2</v>
      </c>
      <c r="W391">
        <v>7043</v>
      </c>
      <c r="X391">
        <v>7042</v>
      </c>
    </row>
    <row r="392" spans="1:24" x14ac:dyDescent="0.2">
      <c r="A392" t="s">
        <v>1786</v>
      </c>
      <c r="B392" t="s">
        <v>24</v>
      </c>
      <c r="C392" t="s">
        <v>437</v>
      </c>
      <c r="D392" t="s">
        <v>1787</v>
      </c>
      <c r="F392" t="s">
        <v>1788</v>
      </c>
      <c r="G392" t="s">
        <v>1170</v>
      </c>
      <c r="H392" t="s">
        <v>1171</v>
      </c>
      <c r="I392" t="s">
        <v>1172</v>
      </c>
      <c r="J392" t="s">
        <v>1248</v>
      </c>
      <c r="K392" s="3" t="b">
        <v>1</v>
      </c>
      <c r="L392" s="3" t="b">
        <v>0</v>
      </c>
      <c r="M392" s="3" t="b">
        <v>0</v>
      </c>
      <c r="N392" s="3" t="b">
        <v>0</v>
      </c>
      <c r="O392" s="3" t="b">
        <v>0</v>
      </c>
      <c r="P392" s="3" t="b">
        <v>0</v>
      </c>
      <c r="Q392" s="3" t="b">
        <v>0</v>
      </c>
      <c r="R392" s="3" t="b">
        <v>0</v>
      </c>
      <c r="S392" s="3" t="b">
        <v>0</v>
      </c>
      <c r="T392">
        <v>2974</v>
      </c>
      <c r="U392">
        <v>100900</v>
      </c>
      <c r="V392">
        <v>2</v>
      </c>
      <c r="W392">
        <v>8822</v>
      </c>
      <c r="X392">
        <v>8821</v>
      </c>
    </row>
    <row r="393" spans="1:24" x14ac:dyDescent="0.2">
      <c r="A393" t="s">
        <v>1789</v>
      </c>
      <c r="B393" t="s">
        <v>24</v>
      </c>
      <c r="C393" t="s">
        <v>1790</v>
      </c>
      <c r="G393" t="s">
        <v>1588</v>
      </c>
      <c r="H393" t="s">
        <v>1589</v>
      </c>
      <c r="I393" t="s">
        <v>1590</v>
      </c>
      <c r="J393" t="s">
        <v>29</v>
      </c>
      <c r="K393" s="3" t="b">
        <v>1</v>
      </c>
      <c r="L393" s="3" t="b">
        <v>1</v>
      </c>
      <c r="M393" s="3" t="b">
        <v>0</v>
      </c>
      <c r="N393" s="3" t="b">
        <v>1</v>
      </c>
      <c r="O393" s="3" t="b">
        <v>1</v>
      </c>
      <c r="P393" s="3" t="b">
        <v>0</v>
      </c>
      <c r="Q393" s="3" t="b">
        <v>0</v>
      </c>
      <c r="R393" s="3" t="b">
        <v>0</v>
      </c>
      <c r="S393" s="3" t="b">
        <v>0</v>
      </c>
      <c r="T393">
        <v>37</v>
      </c>
      <c r="U393">
        <v>2403</v>
      </c>
      <c r="V393">
        <v>1</v>
      </c>
      <c r="W393">
        <v>149</v>
      </c>
      <c r="X393">
        <v>148</v>
      </c>
    </row>
    <row r="394" spans="1:24" x14ac:dyDescent="0.2">
      <c r="A394" t="s">
        <v>1791</v>
      </c>
      <c r="B394" t="s">
        <v>58</v>
      </c>
      <c r="C394" t="s">
        <v>967</v>
      </c>
      <c r="G394" t="s">
        <v>1792</v>
      </c>
      <c r="H394" t="s">
        <v>1793</v>
      </c>
      <c r="I394" t="s">
        <v>1794</v>
      </c>
      <c r="J394" t="s">
        <v>29</v>
      </c>
      <c r="K394" s="3" t="b">
        <v>1</v>
      </c>
      <c r="L394" s="3" t="b">
        <v>1</v>
      </c>
      <c r="M394" s="3" t="b">
        <v>0</v>
      </c>
      <c r="N394" s="3" t="b">
        <v>1</v>
      </c>
      <c r="O394" s="3" t="b">
        <v>1</v>
      </c>
      <c r="P394" s="3" t="b">
        <v>0</v>
      </c>
      <c r="Q394" s="3" t="b">
        <v>0</v>
      </c>
      <c r="R394" s="3" t="b">
        <v>0</v>
      </c>
      <c r="S394" s="3" t="b">
        <v>0</v>
      </c>
      <c r="T394">
        <v>1495</v>
      </c>
      <c r="U394">
        <v>55592</v>
      </c>
      <c r="V394">
        <v>1</v>
      </c>
      <c r="W394">
        <v>4600</v>
      </c>
      <c r="X394">
        <v>4588</v>
      </c>
    </row>
    <row r="395" spans="1:24" x14ac:dyDescent="0.2">
      <c r="A395" t="s">
        <v>1795</v>
      </c>
      <c r="B395" t="s">
        <v>31</v>
      </c>
      <c r="C395" t="s">
        <v>1011</v>
      </c>
      <c r="G395" t="s">
        <v>312</v>
      </c>
      <c r="H395" t="s">
        <v>313</v>
      </c>
      <c r="I395" t="s">
        <v>314</v>
      </c>
      <c r="J395" t="s">
        <v>315</v>
      </c>
      <c r="K395" s="3" t="b">
        <v>1</v>
      </c>
      <c r="L395" s="3" t="b">
        <v>0</v>
      </c>
      <c r="M395" s="3" t="b">
        <v>0</v>
      </c>
      <c r="N395" s="3" t="b">
        <v>0</v>
      </c>
      <c r="O395" s="3" t="b">
        <v>0</v>
      </c>
      <c r="P395" s="3" t="b">
        <v>0</v>
      </c>
      <c r="Q395" s="3" t="b">
        <v>0</v>
      </c>
      <c r="R395" s="3" t="b">
        <v>0</v>
      </c>
      <c r="S395" s="3" t="b">
        <v>0</v>
      </c>
      <c r="T395">
        <v>2339</v>
      </c>
      <c r="U395">
        <v>85311</v>
      </c>
      <c r="V395">
        <v>1</v>
      </c>
      <c r="W395">
        <v>7366</v>
      </c>
      <c r="X395">
        <v>7365</v>
      </c>
    </row>
    <row r="396" spans="1:24" x14ac:dyDescent="0.2">
      <c r="A396" t="s">
        <v>1796</v>
      </c>
      <c r="B396" t="s">
        <v>24</v>
      </c>
      <c r="C396" t="s">
        <v>1557</v>
      </c>
      <c r="D396" t="s">
        <v>1797</v>
      </c>
      <c r="F396" t="s">
        <v>1798</v>
      </c>
      <c r="G396" t="s">
        <v>528</v>
      </c>
      <c r="H396" t="s">
        <v>529</v>
      </c>
      <c r="I396" t="s">
        <v>530</v>
      </c>
      <c r="J396" t="s">
        <v>29</v>
      </c>
      <c r="K396" s="3" t="b">
        <v>1</v>
      </c>
      <c r="L396" s="3" t="b">
        <v>1</v>
      </c>
      <c r="M396" s="3" t="b">
        <v>0</v>
      </c>
      <c r="N396" s="3" t="b">
        <v>1</v>
      </c>
      <c r="O396" s="3" t="b">
        <v>0</v>
      </c>
      <c r="P396" s="3" t="b">
        <v>0</v>
      </c>
      <c r="Q396" s="3" t="b">
        <v>0</v>
      </c>
      <c r="R396" s="3" t="b">
        <v>0</v>
      </c>
      <c r="S396" s="3" t="b">
        <v>0</v>
      </c>
      <c r="T396">
        <v>937</v>
      </c>
      <c r="U396">
        <v>34392</v>
      </c>
      <c r="V396">
        <v>1</v>
      </c>
      <c r="W396">
        <v>2649</v>
      </c>
      <c r="X396">
        <v>2648</v>
      </c>
    </row>
    <row r="397" spans="1:24" x14ac:dyDescent="0.2">
      <c r="A397" t="s">
        <v>1799</v>
      </c>
      <c r="B397" t="s">
        <v>24</v>
      </c>
      <c r="C397" t="s">
        <v>322</v>
      </c>
      <c r="G397" t="s">
        <v>1655</v>
      </c>
      <c r="H397" t="s">
        <v>1656</v>
      </c>
      <c r="I397" t="s">
        <v>1657</v>
      </c>
      <c r="J397" t="s">
        <v>29</v>
      </c>
      <c r="K397" s="3" t="b">
        <v>1</v>
      </c>
      <c r="L397" s="3" t="b">
        <v>1</v>
      </c>
      <c r="M397" s="3" t="b">
        <v>0</v>
      </c>
      <c r="N397" s="3" t="b">
        <v>1</v>
      </c>
      <c r="O397" s="3" t="b">
        <v>0</v>
      </c>
      <c r="P397" s="3" t="b">
        <v>0</v>
      </c>
      <c r="Q397" s="3" t="b">
        <v>0</v>
      </c>
      <c r="R397" s="3" t="b">
        <v>0</v>
      </c>
      <c r="S397" s="3" t="b">
        <v>1</v>
      </c>
      <c r="T397">
        <v>442</v>
      </c>
      <c r="U397">
        <v>17600</v>
      </c>
      <c r="V397">
        <v>1</v>
      </c>
      <c r="W397">
        <v>1520</v>
      </c>
      <c r="X397">
        <v>1519</v>
      </c>
    </row>
    <row r="398" spans="1:24" x14ac:dyDescent="0.2">
      <c r="A398" t="s">
        <v>1800</v>
      </c>
      <c r="B398" t="s">
        <v>24</v>
      </c>
      <c r="C398" t="s">
        <v>1801</v>
      </c>
      <c r="G398" t="s">
        <v>1802</v>
      </c>
      <c r="H398" t="s">
        <v>1803</v>
      </c>
      <c r="I398" t="s">
        <v>309</v>
      </c>
      <c r="J398" t="s">
        <v>310</v>
      </c>
      <c r="K398" s="3" t="b">
        <v>1</v>
      </c>
      <c r="L398" s="3" t="b">
        <v>1</v>
      </c>
      <c r="M398" s="3" t="b">
        <v>0</v>
      </c>
      <c r="N398" s="3" t="b">
        <v>1</v>
      </c>
      <c r="O398" s="3" t="b">
        <v>1</v>
      </c>
      <c r="P398" s="3" t="b">
        <v>0</v>
      </c>
      <c r="Q398" s="3" t="b">
        <v>0</v>
      </c>
      <c r="R398" s="3" t="b">
        <v>0</v>
      </c>
      <c r="S398" s="3" t="b">
        <v>1</v>
      </c>
      <c r="T398">
        <v>680</v>
      </c>
      <c r="U398">
        <v>21283</v>
      </c>
      <c r="V398">
        <v>38</v>
      </c>
      <c r="W398">
        <v>1921</v>
      </c>
      <c r="X398">
        <v>1856</v>
      </c>
    </row>
    <row r="399" spans="1:24" x14ac:dyDescent="0.2">
      <c r="A399" t="s">
        <v>1804</v>
      </c>
      <c r="B399" t="s">
        <v>51</v>
      </c>
      <c r="C399" t="s">
        <v>364</v>
      </c>
      <c r="E399" t="s">
        <v>366</v>
      </c>
      <c r="G399" t="s">
        <v>1805</v>
      </c>
      <c r="H399" t="s">
        <v>1806</v>
      </c>
      <c r="I399" t="s">
        <v>1807</v>
      </c>
      <c r="J399" t="s">
        <v>29</v>
      </c>
      <c r="K399" s="3" t="b">
        <v>1</v>
      </c>
      <c r="L399" s="3" t="b">
        <v>1</v>
      </c>
      <c r="M399" s="3" t="b">
        <v>0</v>
      </c>
      <c r="N399" s="3" t="b">
        <v>1</v>
      </c>
      <c r="O399" s="3" t="b">
        <v>0</v>
      </c>
      <c r="P399" s="3" t="b">
        <v>0</v>
      </c>
      <c r="Q399" s="3" t="b">
        <v>0</v>
      </c>
      <c r="R399" s="3" t="b">
        <v>0</v>
      </c>
      <c r="S399" s="3" t="b">
        <v>0</v>
      </c>
      <c r="T399">
        <v>2284</v>
      </c>
      <c r="U399">
        <v>82290</v>
      </c>
      <c r="V399">
        <v>1</v>
      </c>
      <c r="W399">
        <v>7237</v>
      </c>
      <c r="X399">
        <v>7236</v>
      </c>
    </row>
    <row r="400" spans="1:24" x14ac:dyDescent="0.2">
      <c r="A400" t="s">
        <v>1808</v>
      </c>
      <c r="B400" t="s">
        <v>31</v>
      </c>
      <c r="C400" t="s">
        <v>763</v>
      </c>
      <c r="G400" t="s">
        <v>1809</v>
      </c>
      <c r="H400" t="s">
        <v>1810</v>
      </c>
      <c r="I400" t="s">
        <v>1811</v>
      </c>
      <c r="J400" t="s">
        <v>29</v>
      </c>
      <c r="K400" s="3" t="b">
        <v>1</v>
      </c>
      <c r="L400" s="3" t="b">
        <v>1</v>
      </c>
      <c r="M400" s="3" t="b">
        <v>0</v>
      </c>
      <c r="N400" s="3" t="b">
        <v>1</v>
      </c>
      <c r="O400" s="3" t="b">
        <v>0</v>
      </c>
      <c r="P400" s="3" t="b">
        <v>0</v>
      </c>
      <c r="Q400" s="3" t="b">
        <v>0</v>
      </c>
      <c r="R400" s="3" t="b">
        <v>0</v>
      </c>
      <c r="S400" s="3" t="b">
        <v>0</v>
      </c>
      <c r="T400">
        <v>3727</v>
      </c>
      <c r="U400">
        <v>162404</v>
      </c>
      <c r="V400">
        <v>1</v>
      </c>
      <c r="W400">
        <v>13321</v>
      </c>
      <c r="X400">
        <v>13320</v>
      </c>
    </row>
    <row r="401" spans="1:24" x14ac:dyDescent="0.2">
      <c r="A401" t="s">
        <v>1812</v>
      </c>
      <c r="B401" t="s">
        <v>31</v>
      </c>
      <c r="C401" t="s">
        <v>246</v>
      </c>
      <c r="G401" t="s">
        <v>46</v>
      </c>
      <c r="H401" t="s">
        <v>47</v>
      </c>
      <c r="I401" t="s">
        <v>48</v>
      </c>
      <c r="J401" t="s">
        <v>49</v>
      </c>
      <c r="K401" s="3" t="b">
        <v>1</v>
      </c>
      <c r="L401" s="3" t="b">
        <v>0</v>
      </c>
      <c r="M401" s="3" t="b">
        <v>0</v>
      </c>
      <c r="N401" s="3" t="b">
        <v>0</v>
      </c>
      <c r="O401" s="3" t="b">
        <v>0</v>
      </c>
      <c r="P401" s="3" t="b">
        <v>0</v>
      </c>
      <c r="Q401" s="3" t="b">
        <v>0</v>
      </c>
      <c r="R401" s="3" t="b">
        <v>0</v>
      </c>
      <c r="S401" s="3" t="b">
        <v>0</v>
      </c>
      <c r="T401">
        <v>3559</v>
      </c>
      <c r="U401">
        <v>140184</v>
      </c>
      <c r="V401">
        <v>1</v>
      </c>
      <c r="W401">
        <v>12708</v>
      </c>
      <c r="X401">
        <v>12707</v>
      </c>
    </row>
    <row r="402" spans="1:24" x14ac:dyDescent="0.2">
      <c r="A402" t="s">
        <v>1813</v>
      </c>
      <c r="B402" t="s">
        <v>24</v>
      </c>
      <c r="C402" t="s">
        <v>1754</v>
      </c>
      <c r="G402" t="s">
        <v>1655</v>
      </c>
      <c r="H402" t="s">
        <v>1656</v>
      </c>
      <c r="I402" t="s">
        <v>1657</v>
      </c>
      <c r="J402" t="s">
        <v>29</v>
      </c>
      <c r="K402" s="3" t="b">
        <v>1</v>
      </c>
      <c r="L402" s="3" t="b">
        <v>1</v>
      </c>
      <c r="M402" s="3" t="b">
        <v>0</v>
      </c>
      <c r="N402" s="3" t="b">
        <v>1</v>
      </c>
      <c r="O402" s="3" t="b">
        <v>0</v>
      </c>
      <c r="P402" s="3" t="b">
        <v>0</v>
      </c>
      <c r="Q402" s="3" t="b">
        <v>0</v>
      </c>
      <c r="R402" s="3" t="b">
        <v>0</v>
      </c>
      <c r="S402" s="3" t="b">
        <v>1</v>
      </c>
      <c r="T402">
        <v>442</v>
      </c>
      <c r="U402">
        <v>17600</v>
      </c>
      <c r="V402">
        <v>1</v>
      </c>
      <c r="W402">
        <v>1520</v>
      </c>
      <c r="X402">
        <v>1519</v>
      </c>
    </row>
    <row r="403" spans="1:24" x14ac:dyDescent="0.2">
      <c r="A403" t="s">
        <v>1814</v>
      </c>
      <c r="B403" t="s">
        <v>31</v>
      </c>
      <c r="C403" t="s">
        <v>229</v>
      </c>
      <c r="G403" t="s">
        <v>1815</v>
      </c>
      <c r="H403" t="s">
        <v>1816</v>
      </c>
      <c r="I403" t="s">
        <v>539</v>
      </c>
      <c r="J403" t="s">
        <v>91</v>
      </c>
      <c r="K403" s="3" t="b">
        <v>1</v>
      </c>
      <c r="L403" s="3" t="b">
        <v>0</v>
      </c>
      <c r="M403" s="3" t="b">
        <v>0</v>
      </c>
      <c r="N403" s="3" t="b">
        <v>0</v>
      </c>
      <c r="O403" s="3" t="b">
        <v>0</v>
      </c>
      <c r="P403" s="3" t="b">
        <v>0</v>
      </c>
      <c r="Q403" s="3" t="b">
        <v>0</v>
      </c>
      <c r="R403" s="3" t="b">
        <v>0</v>
      </c>
      <c r="S403" s="3" t="b">
        <v>0</v>
      </c>
      <c r="T403">
        <v>3343</v>
      </c>
      <c r="U403">
        <v>113256</v>
      </c>
      <c r="V403">
        <v>3</v>
      </c>
      <c r="W403">
        <v>11561</v>
      </c>
      <c r="X403">
        <v>11555</v>
      </c>
    </row>
    <row r="404" spans="1:24" x14ac:dyDescent="0.2">
      <c r="A404" t="s">
        <v>1817</v>
      </c>
      <c r="B404" t="s">
        <v>24</v>
      </c>
      <c r="C404" t="s">
        <v>1540</v>
      </c>
      <c r="G404" t="s">
        <v>1655</v>
      </c>
      <c r="H404" t="s">
        <v>1656</v>
      </c>
      <c r="I404" t="s">
        <v>1657</v>
      </c>
      <c r="J404" t="s">
        <v>29</v>
      </c>
      <c r="K404" s="3" t="b">
        <v>1</v>
      </c>
      <c r="L404" s="3" t="b">
        <v>1</v>
      </c>
      <c r="M404" s="3" t="b">
        <v>0</v>
      </c>
      <c r="N404" s="3" t="b">
        <v>1</v>
      </c>
      <c r="O404" s="3" t="b">
        <v>0</v>
      </c>
      <c r="P404" s="3" t="b">
        <v>0</v>
      </c>
      <c r="Q404" s="3" t="b">
        <v>0</v>
      </c>
      <c r="R404" s="3" t="b">
        <v>0</v>
      </c>
      <c r="S404" s="3" t="b">
        <v>1</v>
      </c>
      <c r="T404">
        <v>442</v>
      </c>
      <c r="U404">
        <v>17600</v>
      </c>
      <c r="V404">
        <v>1</v>
      </c>
      <c r="W404">
        <v>1520</v>
      </c>
      <c r="X404">
        <v>1519</v>
      </c>
    </row>
    <row r="405" spans="1:24" x14ac:dyDescent="0.2">
      <c r="A405" t="s">
        <v>1818</v>
      </c>
      <c r="B405" t="s">
        <v>58</v>
      </c>
      <c r="C405" t="s">
        <v>1819</v>
      </c>
      <c r="D405" t="s">
        <v>1820</v>
      </c>
      <c r="G405" t="s">
        <v>1821</v>
      </c>
      <c r="H405" t="s">
        <v>1822</v>
      </c>
      <c r="I405" t="s">
        <v>1823</v>
      </c>
      <c r="J405" t="s">
        <v>1824</v>
      </c>
      <c r="K405" s="3" t="b">
        <v>1</v>
      </c>
      <c r="L405" s="3" t="b">
        <v>0</v>
      </c>
      <c r="M405" s="3" t="b">
        <v>0</v>
      </c>
      <c r="N405" s="3" t="b">
        <v>0</v>
      </c>
      <c r="O405" s="3" t="b">
        <v>0</v>
      </c>
      <c r="P405" s="3" t="b">
        <v>0</v>
      </c>
      <c r="Q405" s="3" t="b">
        <v>0</v>
      </c>
      <c r="R405" s="3" t="b">
        <v>0</v>
      </c>
      <c r="S405" s="3" t="b">
        <v>0</v>
      </c>
      <c r="T405">
        <v>2877</v>
      </c>
      <c r="U405">
        <v>97877</v>
      </c>
      <c r="V405">
        <v>1</v>
      </c>
      <c r="W405">
        <v>8501</v>
      </c>
      <c r="X405">
        <v>8499</v>
      </c>
    </row>
    <row r="406" spans="1:24" x14ac:dyDescent="0.2">
      <c r="A406" t="s">
        <v>1825</v>
      </c>
      <c r="B406" t="s">
        <v>24</v>
      </c>
      <c r="C406" t="s">
        <v>711</v>
      </c>
      <c r="D406">
        <f>3.6</f>
        <v>3.6</v>
      </c>
      <c r="F406">
        <f>3.7</f>
        <v>3.7</v>
      </c>
      <c r="G406" t="s">
        <v>141</v>
      </c>
      <c r="H406" t="s">
        <v>142</v>
      </c>
      <c r="I406" t="s">
        <v>143</v>
      </c>
      <c r="J406" t="s">
        <v>29</v>
      </c>
      <c r="K406" s="3" t="b">
        <v>1</v>
      </c>
      <c r="L406" s="3" t="b">
        <v>0</v>
      </c>
      <c r="M406" s="3" t="b">
        <v>0</v>
      </c>
      <c r="N406" s="3" t="b">
        <v>0</v>
      </c>
      <c r="O406" s="3" t="b">
        <v>0</v>
      </c>
      <c r="P406" s="3" t="b">
        <v>0</v>
      </c>
      <c r="Q406" s="3" t="b">
        <v>0</v>
      </c>
      <c r="R406" s="3" t="b">
        <v>0</v>
      </c>
      <c r="S406" s="3" t="b">
        <v>0</v>
      </c>
      <c r="T406">
        <v>4368</v>
      </c>
      <c r="U406">
        <v>268650</v>
      </c>
      <c r="V406">
        <v>1</v>
      </c>
      <c r="W406">
        <v>15465</v>
      </c>
      <c r="X406">
        <v>15464</v>
      </c>
    </row>
    <row r="407" spans="1:24" x14ac:dyDescent="0.2">
      <c r="A407" t="s">
        <v>1826</v>
      </c>
      <c r="B407" t="s">
        <v>31</v>
      </c>
      <c r="C407" t="s">
        <v>437</v>
      </c>
      <c r="G407" t="s">
        <v>1827</v>
      </c>
      <c r="H407" t="s">
        <v>1828</v>
      </c>
      <c r="I407" t="s">
        <v>798</v>
      </c>
      <c r="J407" t="s">
        <v>1829</v>
      </c>
      <c r="K407" s="3" t="b">
        <v>1</v>
      </c>
      <c r="L407" s="3" t="b">
        <v>0</v>
      </c>
      <c r="M407" s="3" t="b">
        <v>0</v>
      </c>
      <c r="N407" s="3" t="b">
        <v>0</v>
      </c>
      <c r="O407" s="3" t="b">
        <v>0</v>
      </c>
      <c r="P407" s="3" t="b">
        <v>0</v>
      </c>
      <c r="Q407" s="3" t="b">
        <v>0</v>
      </c>
      <c r="R407" s="3" t="b">
        <v>0</v>
      </c>
      <c r="S407" s="3" t="b">
        <v>0</v>
      </c>
      <c r="T407">
        <v>268</v>
      </c>
      <c r="U407">
        <v>11941</v>
      </c>
      <c r="V407">
        <v>1</v>
      </c>
      <c r="W407">
        <v>909</v>
      </c>
      <c r="X407">
        <v>908</v>
      </c>
    </row>
    <row r="408" spans="1:24" x14ac:dyDescent="0.2">
      <c r="A408" t="s">
        <v>1830</v>
      </c>
      <c r="B408" t="s">
        <v>58</v>
      </c>
      <c r="C408" t="s">
        <v>1831</v>
      </c>
      <c r="G408" t="s">
        <v>1832</v>
      </c>
      <c r="H408" t="s">
        <v>1833</v>
      </c>
      <c r="I408" t="s">
        <v>1834</v>
      </c>
      <c r="J408" t="s">
        <v>29</v>
      </c>
      <c r="K408" s="3" t="b">
        <v>1</v>
      </c>
      <c r="L408" s="3" t="b">
        <v>0</v>
      </c>
      <c r="M408" s="3" t="b">
        <v>0</v>
      </c>
      <c r="N408" s="3" t="b">
        <v>0</v>
      </c>
      <c r="O408" s="3" t="b">
        <v>0</v>
      </c>
      <c r="P408" s="3" t="b">
        <v>0</v>
      </c>
      <c r="Q408" s="3" t="b">
        <v>0</v>
      </c>
      <c r="R408" s="3" t="b">
        <v>0</v>
      </c>
      <c r="S408" s="3" t="b">
        <v>0</v>
      </c>
      <c r="T408">
        <v>1880</v>
      </c>
      <c r="U408">
        <v>64011</v>
      </c>
      <c r="V408">
        <v>1</v>
      </c>
      <c r="W408">
        <v>5893</v>
      </c>
      <c r="X408">
        <v>5892</v>
      </c>
    </row>
    <row r="409" spans="1:24" x14ac:dyDescent="0.2">
      <c r="A409" t="s">
        <v>1835</v>
      </c>
      <c r="B409" t="s">
        <v>51</v>
      </c>
      <c r="C409" t="s">
        <v>1342</v>
      </c>
      <c r="E409" t="s">
        <v>336</v>
      </c>
      <c r="G409" t="s">
        <v>1836</v>
      </c>
      <c r="H409" t="s">
        <v>1837</v>
      </c>
      <c r="I409" t="s">
        <v>1345</v>
      </c>
      <c r="J409" t="s">
        <v>1838</v>
      </c>
      <c r="K409" s="3" t="b">
        <v>1</v>
      </c>
      <c r="L409" s="3" t="b">
        <v>1</v>
      </c>
      <c r="M409" s="3" t="b">
        <v>0</v>
      </c>
      <c r="N409" s="3" t="b">
        <v>0</v>
      </c>
      <c r="O409" s="3">
        <v>2</v>
      </c>
      <c r="P409" s="3" t="b">
        <v>1</v>
      </c>
      <c r="Q409" s="3" t="b">
        <v>0</v>
      </c>
      <c r="R409" s="3" t="b">
        <v>0</v>
      </c>
      <c r="S409" s="3" t="b">
        <v>1</v>
      </c>
      <c r="T409">
        <v>3811</v>
      </c>
      <c r="U409">
        <v>180769</v>
      </c>
      <c r="V409">
        <v>1</v>
      </c>
      <c r="W409">
        <v>13526</v>
      </c>
      <c r="X409">
        <v>13525</v>
      </c>
    </row>
    <row r="410" spans="1:24" x14ac:dyDescent="0.2">
      <c r="A410" t="s">
        <v>1839</v>
      </c>
      <c r="B410" t="s">
        <v>58</v>
      </c>
      <c r="C410" t="s">
        <v>759</v>
      </c>
      <c r="D410">
        <f>12</f>
        <v>12</v>
      </c>
      <c r="G410" t="s">
        <v>1840</v>
      </c>
      <c r="H410" t="s">
        <v>1841</v>
      </c>
      <c r="I410" t="s">
        <v>1842</v>
      </c>
      <c r="J410" t="s">
        <v>29</v>
      </c>
      <c r="K410" s="3" t="b">
        <v>1</v>
      </c>
      <c r="L410" s="3" t="b">
        <v>0</v>
      </c>
      <c r="M410" s="3" t="b">
        <v>0</v>
      </c>
      <c r="N410" s="3" t="b">
        <v>0</v>
      </c>
      <c r="O410" s="3" t="b">
        <v>0</v>
      </c>
      <c r="P410" s="3" t="b">
        <v>0</v>
      </c>
      <c r="Q410" s="3" t="b">
        <v>0</v>
      </c>
      <c r="R410" s="3" t="b">
        <v>0</v>
      </c>
      <c r="S410" s="3" t="b">
        <v>0</v>
      </c>
      <c r="T410">
        <v>1538</v>
      </c>
      <c r="U410">
        <v>55594</v>
      </c>
      <c r="V410">
        <v>1</v>
      </c>
      <c r="W410">
        <v>4668</v>
      </c>
      <c r="X410">
        <v>4667</v>
      </c>
    </row>
    <row r="411" spans="1:24" x14ac:dyDescent="0.2">
      <c r="A411" t="s">
        <v>1843</v>
      </c>
      <c r="B411" t="s">
        <v>31</v>
      </c>
      <c r="C411" t="s">
        <v>730</v>
      </c>
      <c r="G411" t="s">
        <v>1844</v>
      </c>
      <c r="H411" t="s">
        <v>1845</v>
      </c>
      <c r="I411" t="s">
        <v>1846</v>
      </c>
      <c r="J411" t="s">
        <v>29</v>
      </c>
      <c r="K411" s="3" t="b">
        <v>1</v>
      </c>
      <c r="L411" s="3" t="b">
        <v>0</v>
      </c>
      <c r="M411" s="3" t="b">
        <v>0</v>
      </c>
      <c r="N411" s="3" t="b">
        <v>0</v>
      </c>
      <c r="O411" s="3" t="b">
        <v>0</v>
      </c>
      <c r="P411" s="3" t="b">
        <v>0</v>
      </c>
      <c r="Q411" s="3" t="b">
        <v>0</v>
      </c>
      <c r="R411" s="3" t="b">
        <v>0</v>
      </c>
      <c r="S411" s="3" t="b">
        <v>0</v>
      </c>
      <c r="T411">
        <v>3736</v>
      </c>
      <c r="U411">
        <v>163227</v>
      </c>
      <c r="V411">
        <v>1</v>
      </c>
      <c r="W411">
        <v>13374</v>
      </c>
      <c r="X411">
        <v>13371</v>
      </c>
    </row>
    <row r="412" spans="1:24" x14ac:dyDescent="0.2">
      <c r="A412" t="s">
        <v>1847</v>
      </c>
      <c r="B412" t="s">
        <v>24</v>
      </c>
      <c r="C412" t="s">
        <v>336</v>
      </c>
      <c r="G412" t="s">
        <v>1383</v>
      </c>
      <c r="H412" t="s">
        <v>1384</v>
      </c>
      <c r="I412" t="s">
        <v>309</v>
      </c>
      <c r="J412" t="s">
        <v>310</v>
      </c>
      <c r="K412" s="3" t="b">
        <v>1</v>
      </c>
      <c r="L412" s="3" t="b">
        <v>1</v>
      </c>
      <c r="M412" s="3" t="b">
        <v>0</v>
      </c>
      <c r="N412" s="3" t="b">
        <v>1</v>
      </c>
      <c r="O412" s="3" t="b">
        <v>1</v>
      </c>
      <c r="P412" s="3" t="b">
        <v>0</v>
      </c>
      <c r="Q412" s="3" t="b">
        <v>0</v>
      </c>
      <c r="R412" s="3" t="b">
        <v>0</v>
      </c>
      <c r="S412" s="3" t="b">
        <v>1</v>
      </c>
      <c r="T412">
        <v>680</v>
      </c>
      <c r="U412">
        <v>21283</v>
      </c>
      <c r="V412">
        <v>38</v>
      </c>
      <c r="W412">
        <v>1921</v>
      </c>
      <c r="X412">
        <v>1856</v>
      </c>
    </row>
    <row r="413" spans="1:24" x14ac:dyDescent="0.2">
      <c r="A413" t="s">
        <v>1848</v>
      </c>
      <c r="B413" t="s">
        <v>58</v>
      </c>
      <c r="C413" t="s">
        <v>1849</v>
      </c>
      <c r="G413" t="s">
        <v>1554</v>
      </c>
      <c r="H413" t="s">
        <v>1555</v>
      </c>
      <c r="I413" t="s">
        <v>79</v>
      </c>
      <c r="J413" t="s">
        <v>29</v>
      </c>
      <c r="K413" s="3" t="b">
        <v>1</v>
      </c>
      <c r="L413" s="3" t="b">
        <v>0</v>
      </c>
      <c r="M413" s="3" t="b">
        <v>0</v>
      </c>
      <c r="N413" s="3" t="b">
        <v>0</v>
      </c>
      <c r="O413" s="3" t="b">
        <v>0</v>
      </c>
      <c r="P413" s="3" t="b">
        <v>0</v>
      </c>
      <c r="Q413" s="3" t="b">
        <v>0</v>
      </c>
      <c r="R413" s="3" t="b">
        <v>0</v>
      </c>
      <c r="S413" s="3" t="b">
        <v>0</v>
      </c>
      <c r="T413">
        <v>2932</v>
      </c>
      <c r="U413">
        <v>99225</v>
      </c>
      <c r="V413">
        <v>1</v>
      </c>
      <c r="W413">
        <v>8625</v>
      </c>
      <c r="X413">
        <v>8624</v>
      </c>
    </row>
    <row r="414" spans="1:24" x14ac:dyDescent="0.2">
      <c r="A414" t="s">
        <v>1850</v>
      </c>
      <c r="B414" t="s">
        <v>51</v>
      </c>
      <c r="C414" t="s">
        <v>1561</v>
      </c>
      <c r="D414" t="s">
        <v>1851</v>
      </c>
      <c r="E414" t="s">
        <v>1852</v>
      </c>
      <c r="G414" t="s">
        <v>1853</v>
      </c>
      <c r="H414" t="s">
        <v>1854</v>
      </c>
      <c r="I414" t="s">
        <v>871</v>
      </c>
      <c r="J414" t="s">
        <v>1855</v>
      </c>
      <c r="K414" s="3" t="b">
        <v>1</v>
      </c>
      <c r="L414" s="3" t="b">
        <v>1</v>
      </c>
      <c r="M414" s="3" t="b">
        <v>0</v>
      </c>
      <c r="N414" s="3" t="b">
        <v>0</v>
      </c>
      <c r="O414" s="3" t="b">
        <v>1</v>
      </c>
      <c r="P414" s="3" t="b">
        <v>0</v>
      </c>
      <c r="Q414" s="3" t="b">
        <v>0</v>
      </c>
      <c r="R414" s="3" t="b">
        <v>0</v>
      </c>
      <c r="S414" s="3" t="b">
        <v>0</v>
      </c>
      <c r="T414">
        <v>92</v>
      </c>
      <c r="U414">
        <v>6567</v>
      </c>
      <c r="V414">
        <v>1</v>
      </c>
      <c r="W414">
        <v>297</v>
      </c>
      <c r="X414">
        <v>296</v>
      </c>
    </row>
    <row r="415" spans="1:24" x14ac:dyDescent="0.2">
      <c r="A415" t="s">
        <v>1856</v>
      </c>
      <c r="B415" t="s">
        <v>58</v>
      </c>
      <c r="C415" t="s">
        <v>140</v>
      </c>
      <c r="G415" t="s">
        <v>1075</v>
      </c>
      <c r="H415" t="s">
        <v>1076</v>
      </c>
      <c r="I415" t="s">
        <v>74</v>
      </c>
      <c r="J415" t="s">
        <v>91</v>
      </c>
      <c r="K415" s="3" t="b">
        <v>1</v>
      </c>
      <c r="L415" s="3" t="b">
        <v>1</v>
      </c>
      <c r="M415" s="3" t="b">
        <v>1</v>
      </c>
      <c r="N415" s="3" t="b">
        <v>1</v>
      </c>
      <c r="O415" s="3" t="b">
        <v>1</v>
      </c>
      <c r="P415" s="3" t="b">
        <v>0</v>
      </c>
      <c r="Q415" s="3" t="b">
        <v>0</v>
      </c>
      <c r="R415" s="3" t="b">
        <v>0</v>
      </c>
      <c r="S415" s="3" t="b">
        <v>0</v>
      </c>
      <c r="T415">
        <v>870</v>
      </c>
      <c r="U415">
        <v>29747</v>
      </c>
      <c r="V415">
        <v>1</v>
      </c>
      <c r="W415">
        <v>2551</v>
      </c>
      <c r="X415">
        <v>2550</v>
      </c>
    </row>
    <row r="416" spans="1:24" x14ac:dyDescent="0.2">
      <c r="A416" t="s">
        <v>1857</v>
      </c>
      <c r="B416" t="s">
        <v>24</v>
      </c>
      <c r="C416" t="s">
        <v>1858</v>
      </c>
      <c r="D416" t="s">
        <v>1859</v>
      </c>
      <c r="G416" t="s">
        <v>726</v>
      </c>
      <c r="H416" t="s">
        <v>727</v>
      </c>
      <c r="I416" t="s">
        <v>728</v>
      </c>
      <c r="J416" t="s">
        <v>29</v>
      </c>
      <c r="K416" s="3" t="b">
        <v>1</v>
      </c>
      <c r="L416" s="3" t="b">
        <v>1</v>
      </c>
      <c r="M416" s="3" t="b">
        <v>0</v>
      </c>
      <c r="N416" s="3" t="b">
        <v>1</v>
      </c>
      <c r="O416" s="3" t="b">
        <v>0</v>
      </c>
      <c r="P416" s="3" t="b">
        <v>0</v>
      </c>
      <c r="Q416" s="3" t="b">
        <v>0</v>
      </c>
      <c r="R416" s="3" t="b">
        <v>0</v>
      </c>
      <c r="S416" s="3" t="b">
        <v>0</v>
      </c>
      <c r="T416">
        <v>942</v>
      </c>
      <c r="U416">
        <v>34392</v>
      </c>
      <c r="V416">
        <v>1</v>
      </c>
      <c r="W416">
        <v>2644</v>
      </c>
      <c r="X416">
        <v>2643</v>
      </c>
    </row>
    <row r="417" spans="1:24" x14ac:dyDescent="0.2">
      <c r="A417" t="s">
        <v>1860</v>
      </c>
      <c r="B417" t="s">
        <v>58</v>
      </c>
      <c r="C417" t="s">
        <v>1861</v>
      </c>
      <c r="D417">
        <f>1.2</f>
        <v>1.2</v>
      </c>
      <c r="G417" t="s">
        <v>1862</v>
      </c>
      <c r="H417" t="s">
        <v>1863</v>
      </c>
      <c r="I417" t="s">
        <v>1864</v>
      </c>
      <c r="J417" t="s">
        <v>29</v>
      </c>
      <c r="K417" s="3" t="b">
        <v>1</v>
      </c>
      <c r="L417" s="3" t="b">
        <v>0</v>
      </c>
      <c r="M417" s="3" t="b">
        <v>0</v>
      </c>
      <c r="N417" s="3" t="b">
        <v>0</v>
      </c>
      <c r="O417" s="3" t="b">
        <v>0</v>
      </c>
      <c r="P417" s="3" t="b">
        <v>0</v>
      </c>
      <c r="Q417" s="3" t="b">
        <v>0</v>
      </c>
      <c r="R417" s="3" t="b">
        <v>0</v>
      </c>
      <c r="S417" s="3" t="b">
        <v>0</v>
      </c>
      <c r="T417">
        <v>2090</v>
      </c>
      <c r="U417">
        <v>73012</v>
      </c>
      <c r="V417">
        <v>1</v>
      </c>
      <c r="W417">
        <v>6577</v>
      </c>
      <c r="X417">
        <v>6576</v>
      </c>
    </row>
    <row r="418" spans="1:24" x14ac:dyDescent="0.2">
      <c r="A418" t="s">
        <v>1865</v>
      </c>
      <c r="B418" t="s">
        <v>58</v>
      </c>
      <c r="C418" t="s">
        <v>519</v>
      </c>
      <c r="G418" t="s">
        <v>67</v>
      </c>
      <c r="H418" t="s">
        <v>68</v>
      </c>
      <c r="I418" t="s">
        <v>42</v>
      </c>
      <c r="J418" t="s">
        <v>69</v>
      </c>
      <c r="K418" s="3" t="b">
        <v>1</v>
      </c>
      <c r="L418" s="3" t="b">
        <v>0</v>
      </c>
      <c r="M418" s="3" t="b">
        <v>0</v>
      </c>
      <c r="N418" s="3" t="b">
        <v>0</v>
      </c>
      <c r="O418" s="3" t="b">
        <v>0</v>
      </c>
      <c r="P418" s="3" t="b">
        <v>0</v>
      </c>
      <c r="Q418" s="3" t="b">
        <v>0</v>
      </c>
      <c r="R418" s="3" t="b">
        <v>0</v>
      </c>
      <c r="S418" s="3" t="b">
        <v>0</v>
      </c>
      <c r="T418">
        <v>782</v>
      </c>
      <c r="U418">
        <v>25052</v>
      </c>
      <c r="V418">
        <v>2</v>
      </c>
      <c r="W418">
        <v>2293</v>
      </c>
      <c r="X418">
        <v>2291</v>
      </c>
    </row>
    <row r="419" spans="1:24" x14ac:dyDescent="0.2">
      <c r="A419" t="s">
        <v>1866</v>
      </c>
      <c r="B419" t="s">
        <v>24</v>
      </c>
      <c r="C419" t="s">
        <v>1867</v>
      </c>
      <c r="D419" t="s">
        <v>1868</v>
      </c>
      <c r="F419" t="s">
        <v>1869</v>
      </c>
      <c r="G419" t="s">
        <v>1870</v>
      </c>
      <c r="H419" t="s">
        <v>1871</v>
      </c>
      <c r="I419" t="s">
        <v>1872</v>
      </c>
      <c r="J419" t="s">
        <v>91</v>
      </c>
      <c r="K419" s="3" t="b">
        <v>1</v>
      </c>
      <c r="L419" s="3" t="b">
        <v>1</v>
      </c>
      <c r="M419" s="3" t="b">
        <v>1</v>
      </c>
      <c r="N419" s="3" t="b">
        <v>1</v>
      </c>
      <c r="O419" s="3" t="b">
        <v>1</v>
      </c>
      <c r="P419" s="3" t="b">
        <v>1</v>
      </c>
      <c r="Q419" s="3" t="b">
        <v>0</v>
      </c>
      <c r="R419" s="3" t="b">
        <v>0</v>
      </c>
      <c r="S419" s="3" t="b">
        <v>1</v>
      </c>
      <c r="T419">
        <v>2867</v>
      </c>
      <c r="U419">
        <v>97877</v>
      </c>
      <c r="V419">
        <v>1</v>
      </c>
      <c r="W419">
        <v>8511</v>
      </c>
      <c r="X419">
        <v>8510</v>
      </c>
    </row>
    <row r="420" spans="1:24" x14ac:dyDescent="0.2">
      <c r="A420" t="s">
        <v>1873</v>
      </c>
      <c r="B420" t="s">
        <v>31</v>
      </c>
      <c r="C420" t="s">
        <v>1874</v>
      </c>
      <c r="G420" t="s">
        <v>307</v>
      </c>
      <c r="H420" t="s">
        <v>308</v>
      </c>
      <c r="I420" t="s">
        <v>309</v>
      </c>
      <c r="J420" t="s">
        <v>310</v>
      </c>
      <c r="K420" s="3" t="b">
        <v>1</v>
      </c>
      <c r="L420" s="3" t="b">
        <v>1</v>
      </c>
      <c r="M420" s="3" t="b">
        <v>0</v>
      </c>
      <c r="N420" s="3" t="b">
        <v>1</v>
      </c>
      <c r="O420" s="3" t="b">
        <v>1</v>
      </c>
      <c r="P420" s="3" t="b">
        <v>0</v>
      </c>
      <c r="Q420" s="3" t="b">
        <v>0</v>
      </c>
      <c r="R420" s="3" t="b">
        <v>0</v>
      </c>
      <c r="S420" s="3" t="b">
        <v>0</v>
      </c>
      <c r="T420">
        <v>680</v>
      </c>
      <c r="U420">
        <v>21283</v>
      </c>
      <c r="V420">
        <v>38</v>
      </c>
      <c r="W420">
        <v>1921</v>
      </c>
      <c r="X420">
        <v>1856</v>
      </c>
    </row>
    <row r="421" spans="1:24" x14ac:dyDescent="0.2">
      <c r="A421" t="s">
        <v>1875</v>
      </c>
      <c r="B421" t="s">
        <v>58</v>
      </c>
      <c r="C421" t="s">
        <v>1876</v>
      </c>
      <c r="G421" t="s">
        <v>1877</v>
      </c>
      <c r="H421" t="s">
        <v>1878</v>
      </c>
      <c r="I421" t="s">
        <v>1879</v>
      </c>
      <c r="J421" t="s">
        <v>1880</v>
      </c>
      <c r="K421" s="3" t="b">
        <v>1</v>
      </c>
      <c r="L421" s="3" t="b">
        <v>1</v>
      </c>
      <c r="M421" s="3" t="b">
        <v>0</v>
      </c>
      <c r="N421" s="3" t="b">
        <v>1</v>
      </c>
      <c r="O421" s="3" t="b">
        <v>1</v>
      </c>
      <c r="P421" s="3" t="b">
        <v>0</v>
      </c>
      <c r="Q421" s="3" t="b">
        <v>0</v>
      </c>
      <c r="R421" s="3" t="b">
        <v>0</v>
      </c>
      <c r="S421" s="3" t="b">
        <v>1</v>
      </c>
      <c r="T421">
        <v>1844</v>
      </c>
      <c r="U421">
        <v>62938</v>
      </c>
      <c r="V421">
        <v>1</v>
      </c>
      <c r="W421">
        <v>5790</v>
      </c>
      <c r="X421">
        <v>5788</v>
      </c>
    </row>
  </sheetData>
  <autoFilter ref="B1:S421" xr:uid="{00000000-0001-0000-0000-000000000000}"/>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CD5EC-95A3-144B-8980-8F02C830F348}">
  <dimension ref="A1:K76"/>
  <sheetViews>
    <sheetView workbookViewId="0">
      <selection activeCell="M9" sqref="M9"/>
    </sheetView>
  </sheetViews>
  <sheetFormatPr baseColWidth="10" defaultRowHeight="16" customHeight="1" x14ac:dyDescent="0.2"/>
  <sheetData>
    <row r="1" spans="1:11" ht="16" customHeight="1" x14ac:dyDescent="0.2">
      <c r="A1" s="1" t="s">
        <v>18</v>
      </c>
      <c r="B1" s="1" t="s">
        <v>1881</v>
      </c>
      <c r="C1" s="1" t="s">
        <v>0</v>
      </c>
      <c r="D1" s="1" t="s">
        <v>1</v>
      </c>
      <c r="E1" s="1" t="s">
        <v>1882</v>
      </c>
      <c r="F1" s="1" t="s">
        <v>3</v>
      </c>
      <c r="G1" s="1" t="s">
        <v>4</v>
      </c>
      <c r="H1" s="1" t="s">
        <v>5</v>
      </c>
      <c r="I1" s="1" t="s">
        <v>1883</v>
      </c>
      <c r="J1" s="1" t="s">
        <v>1884</v>
      </c>
      <c r="K1" s="1" t="s">
        <v>1885</v>
      </c>
    </row>
    <row r="2" spans="1:11" ht="16" customHeight="1" x14ac:dyDescent="0.2">
      <c r="A2">
        <v>1</v>
      </c>
      <c r="B2">
        <v>1</v>
      </c>
      <c r="C2" t="s">
        <v>1886</v>
      </c>
      <c r="D2" t="s">
        <v>1887</v>
      </c>
      <c r="E2" t="s">
        <v>1888</v>
      </c>
      <c r="F2" t="s">
        <v>1889</v>
      </c>
      <c r="G2" t="s">
        <v>1890</v>
      </c>
      <c r="H2" t="s">
        <v>1889</v>
      </c>
      <c r="I2" t="s">
        <v>1891</v>
      </c>
      <c r="J2" t="s">
        <v>1443</v>
      </c>
      <c r="K2" t="s">
        <v>1892</v>
      </c>
    </row>
    <row r="3" spans="1:11" ht="16" customHeight="1" x14ac:dyDescent="0.2">
      <c r="A3">
        <v>2</v>
      </c>
      <c r="B3">
        <v>1</v>
      </c>
      <c r="C3" t="s">
        <v>1886</v>
      </c>
      <c r="D3" t="s">
        <v>1887</v>
      </c>
      <c r="E3" t="s">
        <v>1888</v>
      </c>
      <c r="F3" t="s">
        <v>1889</v>
      </c>
      <c r="G3" t="s">
        <v>1890</v>
      </c>
      <c r="H3" t="s">
        <v>1889</v>
      </c>
      <c r="I3" t="s">
        <v>1893</v>
      </c>
      <c r="J3" t="s">
        <v>1894</v>
      </c>
      <c r="K3" t="s">
        <v>1895</v>
      </c>
    </row>
    <row r="4" spans="1:11" ht="16" customHeight="1" x14ac:dyDescent="0.2">
      <c r="A4">
        <v>3</v>
      </c>
      <c r="B4">
        <v>1</v>
      </c>
      <c r="C4" t="s">
        <v>1896</v>
      </c>
      <c r="D4" t="s">
        <v>1897</v>
      </c>
      <c r="E4" t="s">
        <v>1898</v>
      </c>
      <c r="F4" t="s">
        <v>1899</v>
      </c>
      <c r="G4" t="s">
        <v>1889</v>
      </c>
      <c r="H4" t="s">
        <v>1889</v>
      </c>
      <c r="I4" t="s">
        <v>1891</v>
      </c>
      <c r="J4" t="s">
        <v>68</v>
      </c>
      <c r="K4" t="s">
        <v>1900</v>
      </c>
    </row>
    <row r="5" spans="1:11" ht="16" customHeight="1" x14ac:dyDescent="0.2">
      <c r="A5">
        <v>4</v>
      </c>
      <c r="B5">
        <v>1</v>
      </c>
      <c r="C5" t="s">
        <v>1901</v>
      </c>
      <c r="D5" t="s">
        <v>1897</v>
      </c>
      <c r="E5" t="s">
        <v>1902</v>
      </c>
      <c r="F5" t="s">
        <v>1903</v>
      </c>
      <c r="G5" t="s">
        <v>1889</v>
      </c>
      <c r="H5" t="s">
        <v>1889</v>
      </c>
      <c r="I5" t="s">
        <v>1893</v>
      </c>
      <c r="J5" t="s">
        <v>1904</v>
      </c>
      <c r="K5" t="s">
        <v>1905</v>
      </c>
    </row>
    <row r="6" spans="1:11" ht="16" customHeight="1" x14ac:dyDescent="0.2">
      <c r="A6">
        <v>5</v>
      </c>
      <c r="B6">
        <v>1</v>
      </c>
      <c r="C6" t="s">
        <v>1906</v>
      </c>
      <c r="D6" t="s">
        <v>1907</v>
      </c>
      <c r="E6" t="s">
        <v>1908</v>
      </c>
      <c r="F6" t="s">
        <v>1889</v>
      </c>
      <c r="G6" t="s">
        <v>1889</v>
      </c>
      <c r="H6" t="s">
        <v>1889</v>
      </c>
      <c r="I6" t="s">
        <v>1891</v>
      </c>
      <c r="J6" t="s">
        <v>1909</v>
      </c>
      <c r="K6" t="s">
        <v>1910</v>
      </c>
    </row>
    <row r="7" spans="1:11" ht="16" customHeight="1" x14ac:dyDescent="0.2">
      <c r="A7">
        <v>6</v>
      </c>
      <c r="B7">
        <v>1</v>
      </c>
      <c r="C7" t="s">
        <v>1911</v>
      </c>
      <c r="D7" t="s">
        <v>1907</v>
      </c>
      <c r="E7" t="s">
        <v>1912</v>
      </c>
      <c r="F7" t="s">
        <v>1889</v>
      </c>
      <c r="G7" t="s">
        <v>1889</v>
      </c>
      <c r="H7" t="s">
        <v>1889</v>
      </c>
      <c r="I7" t="s">
        <v>1891</v>
      </c>
      <c r="J7" t="s">
        <v>844</v>
      </c>
      <c r="K7" t="s">
        <v>1913</v>
      </c>
    </row>
    <row r="8" spans="1:11" ht="16" customHeight="1" x14ac:dyDescent="0.2">
      <c r="A8">
        <v>7</v>
      </c>
      <c r="B8">
        <v>1</v>
      </c>
      <c r="C8" t="s">
        <v>1914</v>
      </c>
      <c r="D8" t="s">
        <v>1887</v>
      </c>
      <c r="E8" t="s">
        <v>1915</v>
      </c>
      <c r="F8" t="s">
        <v>1916</v>
      </c>
      <c r="G8" t="s">
        <v>1917</v>
      </c>
      <c r="H8" t="s">
        <v>1889</v>
      </c>
      <c r="I8" t="s">
        <v>1918</v>
      </c>
      <c r="J8" t="s">
        <v>1919</v>
      </c>
      <c r="K8" t="s">
        <v>1920</v>
      </c>
    </row>
    <row r="9" spans="1:11" ht="16" customHeight="1" x14ac:dyDescent="0.2">
      <c r="A9">
        <v>8</v>
      </c>
      <c r="B9">
        <v>1</v>
      </c>
      <c r="C9" t="s">
        <v>1911</v>
      </c>
      <c r="D9" t="s">
        <v>1907</v>
      </c>
      <c r="E9" t="s">
        <v>1912</v>
      </c>
      <c r="F9" t="s">
        <v>1889</v>
      </c>
      <c r="G9" t="s">
        <v>1889</v>
      </c>
      <c r="H9" t="s">
        <v>1889</v>
      </c>
      <c r="I9" t="s">
        <v>1918</v>
      </c>
      <c r="J9" t="s">
        <v>1921</v>
      </c>
      <c r="K9" t="s">
        <v>1922</v>
      </c>
    </row>
    <row r="10" spans="1:11" ht="16" customHeight="1" x14ac:dyDescent="0.2">
      <c r="A10">
        <v>9</v>
      </c>
      <c r="B10">
        <v>1</v>
      </c>
      <c r="C10" t="s">
        <v>1911</v>
      </c>
      <c r="D10" t="s">
        <v>1907</v>
      </c>
      <c r="E10" t="s">
        <v>1912</v>
      </c>
      <c r="F10" t="s">
        <v>1889</v>
      </c>
      <c r="G10" t="s">
        <v>1889</v>
      </c>
      <c r="H10" t="s">
        <v>1889</v>
      </c>
      <c r="I10" t="s">
        <v>1893</v>
      </c>
      <c r="J10" s="2" t="s">
        <v>1923</v>
      </c>
      <c r="K10" t="s">
        <v>1924</v>
      </c>
    </row>
    <row r="11" spans="1:11" ht="16" customHeight="1" x14ac:dyDescent="0.2">
      <c r="A11">
        <v>10</v>
      </c>
      <c r="B11">
        <v>1</v>
      </c>
      <c r="C11" t="s">
        <v>1914</v>
      </c>
      <c r="D11" t="s">
        <v>1887</v>
      </c>
      <c r="E11" t="s">
        <v>1915</v>
      </c>
      <c r="F11" t="s">
        <v>1916</v>
      </c>
      <c r="G11" t="s">
        <v>1917</v>
      </c>
      <c r="H11" t="s">
        <v>1889</v>
      </c>
      <c r="I11" t="s">
        <v>1893</v>
      </c>
      <c r="J11" s="2" t="s">
        <v>1925</v>
      </c>
      <c r="K11" t="s">
        <v>1926</v>
      </c>
    </row>
    <row r="12" spans="1:11" ht="16" customHeight="1" x14ac:dyDescent="0.2">
      <c r="A12">
        <v>11</v>
      </c>
      <c r="B12">
        <v>1</v>
      </c>
      <c r="C12" t="s">
        <v>1911</v>
      </c>
      <c r="D12" t="s">
        <v>1907</v>
      </c>
      <c r="E12" t="s">
        <v>1912</v>
      </c>
      <c r="F12" t="s">
        <v>1889</v>
      </c>
      <c r="G12" t="s">
        <v>1889</v>
      </c>
      <c r="H12" t="s">
        <v>1889</v>
      </c>
      <c r="I12" t="s">
        <v>1927</v>
      </c>
      <c r="J12" t="s">
        <v>845</v>
      </c>
      <c r="K12" t="s">
        <v>1928</v>
      </c>
    </row>
    <row r="13" spans="1:11" ht="16" customHeight="1" x14ac:dyDescent="0.2">
      <c r="A13">
        <v>12</v>
      </c>
      <c r="B13">
        <v>1</v>
      </c>
      <c r="C13" t="s">
        <v>1929</v>
      </c>
      <c r="D13" t="s">
        <v>1897</v>
      </c>
      <c r="E13" t="s">
        <v>1930</v>
      </c>
      <c r="F13" t="s">
        <v>1889</v>
      </c>
      <c r="G13" t="s">
        <v>1889</v>
      </c>
      <c r="H13" t="s">
        <v>1889</v>
      </c>
      <c r="I13" t="s">
        <v>1891</v>
      </c>
      <c r="J13" t="s">
        <v>1878</v>
      </c>
      <c r="K13" t="s">
        <v>1931</v>
      </c>
    </row>
    <row r="14" spans="1:11" ht="16" customHeight="1" x14ac:dyDescent="0.2">
      <c r="A14">
        <v>13</v>
      </c>
      <c r="B14">
        <v>1</v>
      </c>
      <c r="C14" t="s">
        <v>1929</v>
      </c>
      <c r="D14" t="s">
        <v>1897</v>
      </c>
      <c r="E14" t="s">
        <v>1930</v>
      </c>
      <c r="F14" t="s">
        <v>1889</v>
      </c>
      <c r="G14" t="s">
        <v>1889</v>
      </c>
      <c r="H14" t="s">
        <v>1889</v>
      </c>
      <c r="I14" t="s">
        <v>1893</v>
      </c>
      <c r="J14" t="s">
        <v>1932</v>
      </c>
      <c r="K14" t="s">
        <v>1933</v>
      </c>
    </row>
    <row r="15" spans="1:11" ht="16" customHeight="1" x14ac:dyDescent="0.2">
      <c r="A15">
        <v>14</v>
      </c>
      <c r="B15">
        <v>1</v>
      </c>
      <c r="C15" t="s">
        <v>1934</v>
      </c>
      <c r="D15" t="s">
        <v>1897</v>
      </c>
      <c r="E15" t="s">
        <v>1935</v>
      </c>
      <c r="F15" t="s">
        <v>1889</v>
      </c>
      <c r="G15" t="s">
        <v>1889</v>
      </c>
      <c r="H15" t="s">
        <v>1889</v>
      </c>
      <c r="I15" t="s">
        <v>1893</v>
      </c>
      <c r="J15" t="s">
        <v>1936</v>
      </c>
      <c r="K15" t="s">
        <v>1937</v>
      </c>
    </row>
    <row r="16" spans="1:11" ht="16" customHeight="1" x14ac:dyDescent="0.2">
      <c r="A16">
        <v>15</v>
      </c>
      <c r="B16">
        <v>1</v>
      </c>
      <c r="C16" t="s">
        <v>1938</v>
      </c>
      <c r="D16" t="s">
        <v>1939</v>
      </c>
      <c r="E16" t="s">
        <v>1940</v>
      </c>
      <c r="F16" t="s">
        <v>1941</v>
      </c>
      <c r="G16" t="s">
        <v>1889</v>
      </c>
      <c r="H16" t="s">
        <v>1942</v>
      </c>
      <c r="I16" t="s">
        <v>1893</v>
      </c>
      <c r="J16" t="s">
        <v>1943</v>
      </c>
      <c r="K16" t="s">
        <v>1944</v>
      </c>
    </row>
    <row r="17" spans="1:11" ht="16" customHeight="1" x14ac:dyDescent="0.2">
      <c r="A17">
        <v>16</v>
      </c>
      <c r="B17">
        <v>1</v>
      </c>
      <c r="C17" t="s">
        <v>1945</v>
      </c>
      <c r="D17" t="s">
        <v>1887</v>
      </c>
      <c r="E17" t="s">
        <v>1946</v>
      </c>
      <c r="F17" t="s">
        <v>1947</v>
      </c>
      <c r="G17" t="s">
        <v>1948</v>
      </c>
      <c r="H17" t="s">
        <v>1889</v>
      </c>
      <c r="I17" t="s">
        <v>1893</v>
      </c>
      <c r="J17" t="s">
        <v>1949</v>
      </c>
      <c r="K17" t="s">
        <v>1950</v>
      </c>
    </row>
    <row r="18" spans="1:11" ht="16" customHeight="1" x14ac:dyDescent="0.2">
      <c r="A18">
        <v>17</v>
      </c>
      <c r="B18">
        <v>1</v>
      </c>
      <c r="C18" t="s">
        <v>1951</v>
      </c>
      <c r="D18" t="s">
        <v>1887</v>
      </c>
      <c r="E18" t="s">
        <v>1952</v>
      </c>
      <c r="F18" t="s">
        <v>1953</v>
      </c>
      <c r="G18" t="s">
        <v>1954</v>
      </c>
      <c r="H18" t="s">
        <v>1889</v>
      </c>
      <c r="I18" t="s">
        <v>1893</v>
      </c>
      <c r="J18" t="s">
        <v>1955</v>
      </c>
      <c r="K18" t="s">
        <v>1956</v>
      </c>
    </row>
    <row r="19" spans="1:11" ht="16" customHeight="1" x14ac:dyDescent="0.2">
      <c r="A19">
        <v>18</v>
      </c>
      <c r="B19">
        <v>2</v>
      </c>
      <c r="C19" t="s">
        <v>1957</v>
      </c>
      <c r="D19" t="s">
        <v>1958</v>
      </c>
      <c r="E19" t="s">
        <v>1959</v>
      </c>
      <c r="F19" t="s">
        <v>1960</v>
      </c>
      <c r="G19" t="s">
        <v>1961</v>
      </c>
      <c r="H19" t="s">
        <v>1962</v>
      </c>
      <c r="I19" t="s">
        <v>1891</v>
      </c>
      <c r="J19" t="s">
        <v>1260</v>
      </c>
      <c r="K19" t="s">
        <v>1963</v>
      </c>
    </row>
    <row r="20" spans="1:11" ht="16" customHeight="1" x14ac:dyDescent="0.2">
      <c r="A20">
        <v>19</v>
      </c>
      <c r="B20">
        <v>1</v>
      </c>
      <c r="C20" t="s">
        <v>1964</v>
      </c>
      <c r="D20" t="s">
        <v>1939</v>
      </c>
      <c r="E20" t="s">
        <v>1965</v>
      </c>
      <c r="F20" t="s">
        <v>1889</v>
      </c>
      <c r="G20" t="s">
        <v>1889</v>
      </c>
      <c r="H20" t="s">
        <v>1889</v>
      </c>
      <c r="I20" t="s">
        <v>1893</v>
      </c>
      <c r="J20" t="s">
        <v>1966</v>
      </c>
      <c r="K20" t="s">
        <v>1967</v>
      </c>
    </row>
    <row r="21" spans="1:11" ht="16" customHeight="1" x14ac:dyDescent="0.2">
      <c r="A21">
        <v>20</v>
      </c>
      <c r="B21">
        <v>1</v>
      </c>
      <c r="C21" t="s">
        <v>1964</v>
      </c>
      <c r="D21" t="s">
        <v>1939</v>
      </c>
      <c r="E21" t="s">
        <v>1965</v>
      </c>
      <c r="F21" t="s">
        <v>1889</v>
      </c>
      <c r="G21" t="s">
        <v>1889</v>
      </c>
      <c r="H21" t="s">
        <v>1889</v>
      </c>
      <c r="I21" t="s">
        <v>1927</v>
      </c>
      <c r="J21" t="s">
        <v>738</v>
      </c>
      <c r="K21" t="s">
        <v>1968</v>
      </c>
    </row>
    <row r="22" spans="1:11" ht="16" customHeight="1" x14ac:dyDescent="0.2">
      <c r="A22">
        <v>21</v>
      </c>
      <c r="B22">
        <v>1</v>
      </c>
      <c r="C22" t="s">
        <v>1969</v>
      </c>
      <c r="D22" t="s">
        <v>1939</v>
      </c>
      <c r="E22" t="s">
        <v>1970</v>
      </c>
      <c r="F22" t="s">
        <v>1889</v>
      </c>
      <c r="G22" t="s">
        <v>1889</v>
      </c>
      <c r="H22" t="s">
        <v>1889</v>
      </c>
      <c r="I22" t="s">
        <v>1891</v>
      </c>
      <c r="J22" t="s">
        <v>586</v>
      </c>
      <c r="K22" t="s">
        <v>1971</v>
      </c>
    </row>
    <row r="23" spans="1:11" ht="16" customHeight="1" x14ac:dyDescent="0.2">
      <c r="A23">
        <v>22</v>
      </c>
      <c r="B23">
        <v>1</v>
      </c>
      <c r="C23" t="s">
        <v>1972</v>
      </c>
      <c r="D23" t="s">
        <v>1897</v>
      </c>
      <c r="E23" t="s">
        <v>1973</v>
      </c>
      <c r="F23" t="s">
        <v>1889</v>
      </c>
      <c r="G23" t="s">
        <v>1889</v>
      </c>
      <c r="H23" t="s">
        <v>1889</v>
      </c>
      <c r="I23" t="s">
        <v>1891</v>
      </c>
      <c r="J23" t="s">
        <v>282</v>
      </c>
      <c r="K23" t="s">
        <v>1974</v>
      </c>
    </row>
    <row r="24" spans="1:11" ht="16" customHeight="1" x14ac:dyDescent="0.2">
      <c r="A24">
        <v>23</v>
      </c>
      <c r="B24">
        <v>1</v>
      </c>
      <c r="C24" t="s">
        <v>1975</v>
      </c>
      <c r="D24" t="s">
        <v>1939</v>
      </c>
      <c r="E24" t="s">
        <v>1976</v>
      </c>
      <c r="F24" t="s">
        <v>1889</v>
      </c>
      <c r="G24" t="s">
        <v>1889</v>
      </c>
      <c r="H24" t="s">
        <v>1889</v>
      </c>
      <c r="I24" t="s">
        <v>1893</v>
      </c>
      <c r="J24" t="s">
        <v>1977</v>
      </c>
      <c r="K24" t="s">
        <v>1978</v>
      </c>
    </row>
    <row r="25" spans="1:11" ht="16" customHeight="1" x14ac:dyDescent="0.2">
      <c r="A25">
        <v>24</v>
      </c>
      <c r="B25">
        <v>1</v>
      </c>
      <c r="C25" t="s">
        <v>1972</v>
      </c>
      <c r="D25" t="s">
        <v>1897</v>
      </c>
      <c r="E25" t="s">
        <v>1973</v>
      </c>
      <c r="F25" t="s">
        <v>1889</v>
      </c>
      <c r="G25" t="s">
        <v>1889</v>
      </c>
      <c r="H25" t="s">
        <v>1889</v>
      </c>
      <c r="I25" t="s">
        <v>1893</v>
      </c>
      <c r="J25" t="s">
        <v>1979</v>
      </c>
      <c r="K25" t="s">
        <v>1974</v>
      </c>
    </row>
    <row r="26" spans="1:11" ht="16" customHeight="1" x14ac:dyDescent="0.2">
      <c r="A26">
        <v>25</v>
      </c>
      <c r="B26">
        <v>1</v>
      </c>
      <c r="C26" t="s">
        <v>1972</v>
      </c>
      <c r="D26" t="s">
        <v>1897</v>
      </c>
      <c r="E26" t="s">
        <v>1973</v>
      </c>
      <c r="F26" t="s">
        <v>1889</v>
      </c>
      <c r="G26" t="s">
        <v>1889</v>
      </c>
      <c r="H26" t="s">
        <v>1889</v>
      </c>
      <c r="I26" t="s">
        <v>1927</v>
      </c>
      <c r="J26" t="s">
        <v>283</v>
      </c>
      <c r="K26" t="s">
        <v>1974</v>
      </c>
    </row>
    <row r="27" spans="1:11" ht="16" customHeight="1" x14ac:dyDescent="0.2">
      <c r="A27">
        <v>26</v>
      </c>
      <c r="B27">
        <v>1</v>
      </c>
      <c r="C27" t="s">
        <v>1980</v>
      </c>
      <c r="D27" t="s">
        <v>1887</v>
      </c>
      <c r="E27" t="s">
        <v>1981</v>
      </c>
      <c r="F27" t="s">
        <v>1982</v>
      </c>
      <c r="G27" t="s">
        <v>1983</v>
      </c>
      <c r="H27" t="s">
        <v>1889</v>
      </c>
      <c r="I27" t="s">
        <v>1891</v>
      </c>
      <c r="J27" t="s">
        <v>368</v>
      </c>
      <c r="K27" t="s">
        <v>1984</v>
      </c>
    </row>
    <row r="28" spans="1:11" ht="16" customHeight="1" x14ac:dyDescent="0.2">
      <c r="A28">
        <v>27</v>
      </c>
      <c r="B28">
        <v>1</v>
      </c>
      <c r="C28" t="s">
        <v>1980</v>
      </c>
      <c r="D28" t="s">
        <v>1887</v>
      </c>
      <c r="E28" t="s">
        <v>1981</v>
      </c>
      <c r="F28" t="s">
        <v>1982</v>
      </c>
      <c r="G28" t="s">
        <v>1983</v>
      </c>
      <c r="H28" t="s">
        <v>1889</v>
      </c>
      <c r="I28" t="s">
        <v>1893</v>
      </c>
      <c r="J28" t="s">
        <v>1985</v>
      </c>
      <c r="K28" s="4" t="s">
        <v>1986</v>
      </c>
    </row>
    <row r="29" spans="1:11" ht="16" customHeight="1" x14ac:dyDescent="0.2">
      <c r="A29">
        <v>28</v>
      </c>
      <c r="B29">
        <v>1</v>
      </c>
      <c r="C29" t="s">
        <v>1980</v>
      </c>
      <c r="D29" t="s">
        <v>1887</v>
      </c>
      <c r="E29" t="s">
        <v>1981</v>
      </c>
      <c r="F29" t="s">
        <v>1982</v>
      </c>
      <c r="G29" t="s">
        <v>1983</v>
      </c>
      <c r="H29" t="s">
        <v>1889</v>
      </c>
      <c r="I29" t="s">
        <v>1927</v>
      </c>
      <c r="J29" t="s">
        <v>369</v>
      </c>
      <c r="K29" t="s">
        <v>1984</v>
      </c>
    </row>
    <row r="30" spans="1:11" ht="16" customHeight="1" x14ac:dyDescent="0.2">
      <c r="A30">
        <v>29</v>
      </c>
      <c r="B30">
        <v>1</v>
      </c>
      <c r="C30" t="s">
        <v>1987</v>
      </c>
      <c r="D30" t="s">
        <v>1939</v>
      </c>
      <c r="E30" t="s">
        <v>1988</v>
      </c>
      <c r="F30" t="s">
        <v>1989</v>
      </c>
      <c r="G30" t="s">
        <v>1889</v>
      </c>
      <c r="H30" t="s">
        <v>1990</v>
      </c>
      <c r="I30" t="s">
        <v>1918</v>
      </c>
      <c r="J30" t="s">
        <v>1991</v>
      </c>
      <c r="K30" t="s">
        <v>1992</v>
      </c>
    </row>
    <row r="31" spans="1:11" ht="16" customHeight="1" x14ac:dyDescent="0.2">
      <c r="A31">
        <v>30</v>
      </c>
      <c r="B31">
        <v>1</v>
      </c>
      <c r="C31" t="s">
        <v>1993</v>
      </c>
      <c r="D31" t="s">
        <v>1897</v>
      </c>
      <c r="E31" t="s">
        <v>1994</v>
      </c>
      <c r="F31" t="s">
        <v>1995</v>
      </c>
      <c r="G31" t="s">
        <v>1889</v>
      </c>
      <c r="H31" t="s">
        <v>1889</v>
      </c>
      <c r="I31" t="s">
        <v>1918</v>
      </c>
      <c r="J31" t="s">
        <v>1996</v>
      </c>
      <c r="K31" s="4" t="s">
        <v>1997</v>
      </c>
    </row>
    <row r="32" spans="1:11" ht="16" customHeight="1" x14ac:dyDescent="0.2">
      <c r="A32">
        <v>31</v>
      </c>
      <c r="B32">
        <v>1</v>
      </c>
      <c r="C32" t="s">
        <v>1998</v>
      </c>
      <c r="D32" t="s">
        <v>1887</v>
      </c>
      <c r="E32" t="s">
        <v>1981</v>
      </c>
      <c r="F32" t="s">
        <v>1889</v>
      </c>
      <c r="G32" t="s">
        <v>1983</v>
      </c>
      <c r="H32" t="s">
        <v>1889</v>
      </c>
      <c r="I32" t="s">
        <v>1918</v>
      </c>
      <c r="J32" t="s">
        <v>1999</v>
      </c>
      <c r="K32" t="s">
        <v>2000</v>
      </c>
    </row>
    <row r="33" spans="1:11" ht="16" customHeight="1" x14ac:dyDescent="0.2">
      <c r="A33">
        <v>32</v>
      </c>
      <c r="B33">
        <v>1</v>
      </c>
      <c r="C33" t="s">
        <v>2001</v>
      </c>
      <c r="D33" t="s">
        <v>1887</v>
      </c>
      <c r="E33" t="s">
        <v>2002</v>
      </c>
      <c r="F33" t="s">
        <v>2003</v>
      </c>
      <c r="G33" t="s">
        <v>2004</v>
      </c>
      <c r="H33" t="s">
        <v>1889</v>
      </c>
      <c r="I33" t="s">
        <v>1891</v>
      </c>
      <c r="J33" t="s">
        <v>289</v>
      </c>
      <c r="K33" t="s">
        <v>2005</v>
      </c>
    </row>
    <row r="34" spans="1:11" ht="16" customHeight="1" x14ac:dyDescent="0.2">
      <c r="A34">
        <v>33</v>
      </c>
      <c r="B34">
        <v>1</v>
      </c>
      <c r="C34" t="s">
        <v>2006</v>
      </c>
      <c r="D34" t="s">
        <v>1897</v>
      </c>
      <c r="E34" t="s">
        <v>2007</v>
      </c>
      <c r="F34" t="s">
        <v>1889</v>
      </c>
      <c r="G34" t="s">
        <v>1889</v>
      </c>
      <c r="H34" t="s">
        <v>1889</v>
      </c>
      <c r="I34" t="s">
        <v>1893</v>
      </c>
      <c r="J34" t="s">
        <v>2008</v>
      </c>
      <c r="K34" t="s">
        <v>2009</v>
      </c>
    </row>
    <row r="35" spans="1:11" ht="16" customHeight="1" x14ac:dyDescent="0.2">
      <c r="A35">
        <v>34</v>
      </c>
      <c r="B35">
        <v>1</v>
      </c>
      <c r="C35" t="s">
        <v>2010</v>
      </c>
      <c r="D35" t="s">
        <v>1897</v>
      </c>
      <c r="E35" t="s">
        <v>2011</v>
      </c>
      <c r="F35" t="s">
        <v>1889</v>
      </c>
      <c r="G35" t="s">
        <v>1889</v>
      </c>
      <c r="H35" t="s">
        <v>1889</v>
      </c>
      <c r="I35" t="s">
        <v>1893</v>
      </c>
      <c r="J35" t="s">
        <v>2012</v>
      </c>
      <c r="K35" t="s">
        <v>2013</v>
      </c>
    </row>
    <row r="36" spans="1:11" ht="16" customHeight="1" x14ac:dyDescent="0.2">
      <c r="A36">
        <v>35</v>
      </c>
      <c r="B36">
        <v>2</v>
      </c>
      <c r="C36" t="s">
        <v>2014</v>
      </c>
      <c r="D36" t="s">
        <v>2015</v>
      </c>
      <c r="E36" t="s">
        <v>2016</v>
      </c>
      <c r="F36" t="s">
        <v>1961</v>
      </c>
      <c r="G36" t="s">
        <v>1961</v>
      </c>
      <c r="H36" t="s">
        <v>1961</v>
      </c>
      <c r="I36" t="s">
        <v>1918</v>
      </c>
      <c r="J36" t="s">
        <v>2017</v>
      </c>
      <c r="K36" t="s">
        <v>2018</v>
      </c>
    </row>
    <row r="37" spans="1:11" ht="16" customHeight="1" x14ac:dyDescent="0.2">
      <c r="A37">
        <v>36</v>
      </c>
      <c r="B37">
        <v>1</v>
      </c>
      <c r="C37" t="s">
        <v>2019</v>
      </c>
      <c r="D37" t="s">
        <v>1939</v>
      </c>
      <c r="E37" t="s">
        <v>2020</v>
      </c>
      <c r="F37" t="s">
        <v>2021</v>
      </c>
      <c r="G37" t="s">
        <v>1889</v>
      </c>
      <c r="H37" t="s">
        <v>2022</v>
      </c>
      <c r="I37" t="s">
        <v>1918</v>
      </c>
      <c r="J37" t="s">
        <v>2023</v>
      </c>
      <c r="K37" s="4" t="s">
        <v>2024</v>
      </c>
    </row>
    <row r="38" spans="1:11" ht="16" customHeight="1" x14ac:dyDescent="0.2">
      <c r="A38">
        <v>37</v>
      </c>
      <c r="B38">
        <v>1</v>
      </c>
      <c r="C38" t="s">
        <v>2025</v>
      </c>
      <c r="D38" t="s">
        <v>1887</v>
      </c>
      <c r="E38" t="s">
        <v>2026</v>
      </c>
      <c r="F38" t="s">
        <v>2027</v>
      </c>
      <c r="G38" t="s">
        <v>2028</v>
      </c>
      <c r="H38" t="s">
        <v>1889</v>
      </c>
      <c r="I38" t="s">
        <v>1918</v>
      </c>
      <c r="J38" t="s">
        <v>2029</v>
      </c>
      <c r="K38" t="s">
        <v>2030</v>
      </c>
    </row>
    <row r="39" spans="1:11" ht="16" customHeight="1" x14ac:dyDescent="0.2">
      <c r="A39">
        <v>38</v>
      </c>
      <c r="B39">
        <v>1</v>
      </c>
      <c r="C39" t="s">
        <v>2031</v>
      </c>
      <c r="D39" t="s">
        <v>1939</v>
      </c>
      <c r="E39" t="s">
        <v>2032</v>
      </c>
      <c r="F39" t="s">
        <v>2033</v>
      </c>
      <c r="G39" t="s">
        <v>1889</v>
      </c>
      <c r="H39" t="s">
        <v>2034</v>
      </c>
      <c r="I39" t="s">
        <v>1918</v>
      </c>
      <c r="J39" t="s">
        <v>2035</v>
      </c>
      <c r="K39" t="s">
        <v>2036</v>
      </c>
    </row>
    <row r="40" spans="1:11" ht="16" customHeight="1" x14ac:dyDescent="0.2">
      <c r="A40">
        <v>39</v>
      </c>
      <c r="B40">
        <v>1</v>
      </c>
      <c r="C40" t="s">
        <v>2031</v>
      </c>
      <c r="D40" t="s">
        <v>1939</v>
      </c>
      <c r="E40" t="s">
        <v>2032</v>
      </c>
      <c r="F40" t="s">
        <v>2033</v>
      </c>
      <c r="G40" t="s">
        <v>1889</v>
      </c>
      <c r="H40" t="s">
        <v>2034</v>
      </c>
      <c r="I40" t="s">
        <v>1918</v>
      </c>
      <c r="J40" t="s">
        <v>2037</v>
      </c>
      <c r="K40" t="s">
        <v>2038</v>
      </c>
    </row>
    <row r="41" spans="1:11" ht="16" customHeight="1" x14ac:dyDescent="0.2">
      <c r="A41">
        <v>40</v>
      </c>
      <c r="B41">
        <v>1</v>
      </c>
      <c r="C41" t="s">
        <v>2039</v>
      </c>
      <c r="D41" t="s">
        <v>1939</v>
      </c>
      <c r="E41" t="s">
        <v>2040</v>
      </c>
      <c r="F41" t="s">
        <v>2041</v>
      </c>
      <c r="G41" t="s">
        <v>1889</v>
      </c>
      <c r="H41" t="s">
        <v>2042</v>
      </c>
      <c r="I41" t="s">
        <v>1918</v>
      </c>
      <c r="J41" t="s">
        <v>2043</v>
      </c>
      <c r="K41" t="s">
        <v>2044</v>
      </c>
    </row>
    <row r="42" spans="1:11" ht="16" customHeight="1" x14ac:dyDescent="0.2">
      <c r="A42">
        <v>41</v>
      </c>
      <c r="B42">
        <v>1</v>
      </c>
      <c r="C42" t="s">
        <v>2045</v>
      </c>
      <c r="D42" t="s">
        <v>1887</v>
      </c>
      <c r="E42" t="s">
        <v>2046</v>
      </c>
      <c r="F42" t="s">
        <v>2047</v>
      </c>
      <c r="G42" t="s">
        <v>2048</v>
      </c>
      <c r="H42" t="s">
        <v>1889</v>
      </c>
      <c r="I42" t="s">
        <v>1893</v>
      </c>
      <c r="J42" t="s">
        <v>2049</v>
      </c>
      <c r="K42" t="s">
        <v>2050</v>
      </c>
    </row>
    <row r="43" spans="1:11" ht="16" customHeight="1" x14ac:dyDescent="0.2">
      <c r="A43">
        <v>42</v>
      </c>
      <c r="B43">
        <v>2</v>
      </c>
      <c r="C43" t="s">
        <v>2051</v>
      </c>
      <c r="D43" t="s">
        <v>2015</v>
      </c>
      <c r="E43" t="s">
        <v>2052</v>
      </c>
      <c r="F43" t="s">
        <v>2053</v>
      </c>
      <c r="G43" t="s">
        <v>1961</v>
      </c>
      <c r="H43" t="s">
        <v>1961</v>
      </c>
      <c r="I43" t="s">
        <v>1891</v>
      </c>
      <c r="J43" t="s">
        <v>590</v>
      </c>
      <c r="K43" t="s">
        <v>2054</v>
      </c>
    </row>
    <row r="44" spans="1:11" ht="16" customHeight="1" x14ac:dyDescent="0.2">
      <c r="A44">
        <v>43</v>
      </c>
      <c r="B44">
        <v>1</v>
      </c>
      <c r="C44" t="s">
        <v>2055</v>
      </c>
      <c r="D44" t="s">
        <v>1887</v>
      </c>
      <c r="E44" t="s">
        <v>2056</v>
      </c>
      <c r="F44" t="s">
        <v>1889</v>
      </c>
      <c r="G44" t="s">
        <v>2057</v>
      </c>
      <c r="H44" t="s">
        <v>1889</v>
      </c>
      <c r="I44" t="s">
        <v>1893</v>
      </c>
      <c r="J44" t="s">
        <v>2058</v>
      </c>
      <c r="K44" t="s">
        <v>2059</v>
      </c>
    </row>
    <row r="45" spans="1:11" ht="16" customHeight="1" x14ac:dyDescent="0.2">
      <c r="A45">
        <v>44</v>
      </c>
      <c r="B45">
        <v>2</v>
      </c>
      <c r="C45" t="s">
        <v>2051</v>
      </c>
      <c r="D45" t="s">
        <v>2015</v>
      </c>
      <c r="E45" t="s">
        <v>2052</v>
      </c>
      <c r="F45" t="s">
        <v>2053</v>
      </c>
      <c r="G45" t="s">
        <v>1961</v>
      </c>
      <c r="H45" t="s">
        <v>1961</v>
      </c>
      <c r="I45" t="s">
        <v>1893</v>
      </c>
      <c r="J45" t="s">
        <v>2060</v>
      </c>
      <c r="K45" t="s">
        <v>2061</v>
      </c>
    </row>
    <row r="46" spans="1:11" ht="16" customHeight="1" x14ac:dyDescent="0.2">
      <c r="A46">
        <v>45</v>
      </c>
      <c r="B46">
        <v>1</v>
      </c>
      <c r="C46" t="s">
        <v>2062</v>
      </c>
      <c r="D46" t="s">
        <v>1897</v>
      </c>
      <c r="E46" t="s">
        <v>2063</v>
      </c>
      <c r="F46" t="s">
        <v>1889</v>
      </c>
      <c r="G46" t="s">
        <v>1889</v>
      </c>
      <c r="H46" t="s">
        <v>1889</v>
      </c>
      <c r="I46" t="s">
        <v>1891</v>
      </c>
      <c r="J46" t="s">
        <v>1353</v>
      </c>
      <c r="K46" t="s">
        <v>2064</v>
      </c>
    </row>
    <row r="47" spans="1:11" ht="16" customHeight="1" x14ac:dyDescent="0.2">
      <c r="A47">
        <v>46</v>
      </c>
      <c r="B47">
        <v>1</v>
      </c>
      <c r="C47" t="s">
        <v>2062</v>
      </c>
      <c r="D47" t="s">
        <v>1897</v>
      </c>
      <c r="E47" t="s">
        <v>2063</v>
      </c>
      <c r="F47" t="s">
        <v>1889</v>
      </c>
      <c r="G47" t="s">
        <v>1889</v>
      </c>
      <c r="H47" t="s">
        <v>1889</v>
      </c>
      <c r="I47" t="s">
        <v>1893</v>
      </c>
      <c r="J47" t="s">
        <v>2065</v>
      </c>
      <c r="K47" t="s">
        <v>2064</v>
      </c>
    </row>
    <row r="48" spans="1:11" ht="16" customHeight="1" x14ac:dyDescent="0.2">
      <c r="A48">
        <v>47</v>
      </c>
      <c r="B48">
        <v>1</v>
      </c>
      <c r="C48" t="s">
        <v>2066</v>
      </c>
      <c r="D48" t="s">
        <v>1907</v>
      </c>
      <c r="E48" t="s">
        <v>2067</v>
      </c>
      <c r="F48" t="s">
        <v>2068</v>
      </c>
      <c r="G48" t="s">
        <v>1889</v>
      </c>
      <c r="H48" t="s">
        <v>1889</v>
      </c>
      <c r="I48" t="s">
        <v>1893</v>
      </c>
      <c r="J48" t="s">
        <v>2069</v>
      </c>
      <c r="K48" t="s">
        <v>2070</v>
      </c>
    </row>
    <row r="49" spans="1:11" ht="16" customHeight="1" x14ac:dyDescent="0.2">
      <c r="A49">
        <v>48</v>
      </c>
      <c r="B49">
        <v>1</v>
      </c>
      <c r="C49" t="s">
        <v>2066</v>
      </c>
      <c r="D49" t="s">
        <v>1907</v>
      </c>
      <c r="E49" t="s">
        <v>2067</v>
      </c>
      <c r="F49" t="s">
        <v>2068</v>
      </c>
      <c r="G49" t="s">
        <v>1889</v>
      </c>
      <c r="H49" t="s">
        <v>1889</v>
      </c>
      <c r="I49" t="s">
        <v>1927</v>
      </c>
      <c r="J49" t="s">
        <v>379</v>
      </c>
      <c r="K49" t="s">
        <v>2071</v>
      </c>
    </row>
    <row r="50" spans="1:11" ht="16" customHeight="1" x14ac:dyDescent="0.2">
      <c r="A50">
        <v>49</v>
      </c>
      <c r="B50">
        <v>1</v>
      </c>
      <c r="C50" t="s">
        <v>2072</v>
      </c>
      <c r="D50" t="s">
        <v>1897</v>
      </c>
      <c r="E50" t="s">
        <v>2073</v>
      </c>
      <c r="F50" t="s">
        <v>1916</v>
      </c>
      <c r="G50" t="s">
        <v>1889</v>
      </c>
      <c r="H50" t="s">
        <v>1889</v>
      </c>
      <c r="I50" t="s">
        <v>1918</v>
      </c>
      <c r="J50" t="s">
        <v>2074</v>
      </c>
      <c r="K50" t="s">
        <v>2075</v>
      </c>
    </row>
    <row r="51" spans="1:11" ht="16" customHeight="1" x14ac:dyDescent="0.2">
      <c r="A51">
        <v>50</v>
      </c>
      <c r="B51">
        <v>1</v>
      </c>
      <c r="C51" t="s">
        <v>2076</v>
      </c>
      <c r="D51" t="s">
        <v>1887</v>
      </c>
      <c r="E51" t="s">
        <v>2077</v>
      </c>
      <c r="F51" t="s">
        <v>2078</v>
      </c>
      <c r="G51" t="s">
        <v>2079</v>
      </c>
      <c r="H51" t="s">
        <v>1889</v>
      </c>
      <c r="I51" t="s">
        <v>1918</v>
      </c>
      <c r="J51" t="s">
        <v>2080</v>
      </c>
      <c r="K51" t="s">
        <v>2081</v>
      </c>
    </row>
    <row r="52" spans="1:11" ht="16" customHeight="1" x14ac:dyDescent="0.2">
      <c r="A52">
        <v>51</v>
      </c>
      <c r="B52">
        <v>1</v>
      </c>
      <c r="C52" t="s">
        <v>2072</v>
      </c>
      <c r="D52" t="s">
        <v>1897</v>
      </c>
      <c r="E52" t="s">
        <v>2073</v>
      </c>
      <c r="F52" t="s">
        <v>1916</v>
      </c>
      <c r="G52" t="s">
        <v>1889</v>
      </c>
      <c r="H52" t="s">
        <v>1889</v>
      </c>
      <c r="I52" t="s">
        <v>1893</v>
      </c>
      <c r="J52" t="s">
        <v>2082</v>
      </c>
      <c r="K52" t="s">
        <v>2083</v>
      </c>
    </row>
    <row r="53" spans="1:11" ht="16" customHeight="1" x14ac:dyDescent="0.2">
      <c r="A53">
        <v>52</v>
      </c>
      <c r="B53">
        <v>1</v>
      </c>
      <c r="C53" t="s">
        <v>2076</v>
      </c>
      <c r="D53" t="s">
        <v>1887</v>
      </c>
      <c r="E53" t="s">
        <v>2077</v>
      </c>
      <c r="F53" t="s">
        <v>2078</v>
      </c>
      <c r="G53" t="s">
        <v>2079</v>
      </c>
      <c r="H53" t="s">
        <v>1889</v>
      </c>
      <c r="I53" t="s">
        <v>1893</v>
      </c>
      <c r="J53" t="s">
        <v>2084</v>
      </c>
      <c r="K53" t="s">
        <v>2085</v>
      </c>
    </row>
    <row r="54" spans="1:11" ht="16" customHeight="1" x14ac:dyDescent="0.2">
      <c r="A54">
        <v>53</v>
      </c>
      <c r="B54">
        <v>1</v>
      </c>
      <c r="C54" t="s">
        <v>2086</v>
      </c>
      <c r="D54" t="s">
        <v>1939</v>
      </c>
      <c r="E54" t="s">
        <v>2087</v>
      </c>
      <c r="F54" t="s">
        <v>1889</v>
      </c>
      <c r="G54" t="s">
        <v>1889</v>
      </c>
      <c r="H54" t="s">
        <v>1889</v>
      </c>
      <c r="I54" t="s">
        <v>1891</v>
      </c>
      <c r="J54" t="s">
        <v>1384</v>
      </c>
      <c r="K54" t="s">
        <v>2088</v>
      </c>
    </row>
    <row r="55" spans="1:11" ht="16" customHeight="1" x14ac:dyDescent="0.2">
      <c r="A55">
        <v>54</v>
      </c>
      <c r="B55">
        <v>1</v>
      </c>
      <c r="C55" t="s">
        <v>2089</v>
      </c>
      <c r="D55" t="s">
        <v>1939</v>
      </c>
      <c r="E55" t="s">
        <v>2090</v>
      </c>
      <c r="F55" t="s">
        <v>1889</v>
      </c>
      <c r="G55" t="s">
        <v>1889</v>
      </c>
      <c r="H55" t="s">
        <v>1889</v>
      </c>
      <c r="I55" t="s">
        <v>1893</v>
      </c>
      <c r="J55" t="s">
        <v>2091</v>
      </c>
      <c r="K55" t="s">
        <v>2092</v>
      </c>
    </row>
    <row r="56" spans="1:11" ht="16" customHeight="1" x14ac:dyDescent="0.2">
      <c r="A56">
        <v>55</v>
      </c>
      <c r="B56">
        <v>3</v>
      </c>
      <c r="C56" t="s">
        <v>2093</v>
      </c>
      <c r="D56" t="s">
        <v>2094</v>
      </c>
      <c r="E56" t="s">
        <v>2095</v>
      </c>
      <c r="F56" t="s">
        <v>2096</v>
      </c>
      <c r="G56" t="s">
        <v>2096</v>
      </c>
      <c r="H56" t="s">
        <v>2096</v>
      </c>
      <c r="I56" t="s">
        <v>1893</v>
      </c>
      <c r="J56" t="s">
        <v>2097</v>
      </c>
      <c r="K56" t="s">
        <v>2088</v>
      </c>
    </row>
    <row r="57" spans="1:11" ht="16" customHeight="1" x14ac:dyDescent="0.2">
      <c r="A57">
        <v>56</v>
      </c>
      <c r="B57">
        <v>1</v>
      </c>
      <c r="C57" t="s">
        <v>2098</v>
      </c>
      <c r="D57" t="s">
        <v>1887</v>
      </c>
      <c r="E57" t="s">
        <v>2099</v>
      </c>
      <c r="F57" t="s">
        <v>1889</v>
      </c>
      <c r="G57" t="s">
        <v>2100</v>
      </c>
      <c r="H57" t="s">
        <v>1889</v>
      </c>
      <c r="I57" t="s">
        <v>1891</v>
      </c>
      <c r="J57" t="s">
        <v>1221</v>
      </c>
      <c r="K57" t="s">
        <v>2101</v>
      </c>
    </row>
    <row r="58" spans="1:11" ht="16" customHeight="1" x14ac:dyDescent="0.2">
      <c r="A58">
        <v>57</v>
      </c>
      <c r="B58">
        <v>1</v>
      </c>
      <c r="C58" t="s">
        <v>2102</v>
      </c>
      <c r="D58" t="s">
        <v>1887</v>
      </c>
      <c r="E58" t="s">
        <v>2103</v>
      </c>
      <c r="F58" t="s">
        <v>1889</v>
      </c>
      <c r="G58" t="s">
        <v>1988</v>
      </c>
      <c r="H58" t="s">
        <v>1889</v>
      </c>
      <c r="I58" t="s">
        <v>1893</v>
      </c>
      <c r="J58" t="s">
        <v>2104</v>
      </c>
      <c r="K58" t="s">
        <v>2105</v>
      </c>
    </row>
    <row r="59" spans="1:11" ht="16" customHeight="1" x14ac:dyDescent="0.2">
      <c r="A59">
        <v>58</v>
      </c>
      <c r="B59">
        <v>1</v>
      </c>
      <c r="C59" t="s">
        <v>2106</v>
      </c>
      <c r="D59" t="s">
        <v>1939</v>
      </c>
      <c r="E59" t="s">
        <v>1940</v>
      </c>
      <c r="F59" t="s">
        <v>2107</v>
      </c>
      <c r="G59" t="s">
        <v>1889</v>
      </c>
      <c r="H59" t="s">
        <v>2108</v>
      </c>
      <c r="I59" t="s">
        <v>1891</v>
      </c>
      <c r="J59" t="s">
        <v>954</v>
      </c>
      <c r="K59" t="s">
        <v>2109</v>
      </c>
    </row>
    <row r="60" spans="1:11" ht="16" customHeight="1" x14ac:dyDescent="0.2">
      <c r="A60">
        <v>59</v>
      </c>
      <c r="B60">
        <v>1</v>
      </c>
      <c r="C60" t="s">
        <v>2106</v>
      </c>
      <c r="D60" t="s">
        <v>1939</v>
      </c>
      <c r="E60" t="s">
        <v>1940</v>
      </c>
      <c r="F60" t="s">
        <v>2107</v>
      </c>
      <c r="G60" t="s">
        <v>1889</v>
      </c>
      <c r="H60" t="s">
        <v>2108</v>
      </c>
      <c r="I60" t="s">
        <v>1893</v>
      </c>
      <c r="J60" t="s">
        <v>2110</v>
      </c>
      <c r="K60" t="s">
        <v>2111</v>
      </c>
    </row>
    <row r="61" spans="1:11" ht="16" customHeight="1" x14ac:dyDescent="0.2">
      <c r="A61">
        <v>60</v>
      </c>
      <c r="B61">
        <v>1</v>
      </c>
      <c r="C61" t="s">
        <v>2112</v>
      </c>
      <c r="D61" t="s">
        <v>1939</v>
      </c>
      <c r="E61" t="s">
        <v>2113</v>
      </c>
      <c r="F61" t="s">
        <v>2114</v>
      </c>
      <c r="G61" t="s">
        <v>1889</v>
      </c>
      <c r="H61" t="s">
        <v>2115</v>
      </c>
      <c r="I61" t="s">
        <v>1893</v>
      </c>
      <c r="J61" t="s">
        <v>2116</v>
      </c>
      <c r="K61" t="s">
        <v>2117</v>
      </c>
    </row>
    <row r="62" spans="1:11" ht="16" customHeight="1" x14ac:dyDescent="0.2">
      <c r="A62">
        <v>61</v>
      </c>
      <c r="B62">
        <v>1</v>
      </c>
      <c r="C62" t="s">
        <v>2118</v>
      </c>
      <c r="D62" t="s">
        <v>1939</v>
      </c>
      <c r="E62" t="s">
        <v>2119</v>
      </c>
      <c r="F62" t="s">
        <v>2120</v>
      </c>
      <c r="G62" t="s">
        <v>1889</v>
      </c>
      <c r="H62" t="s">
        <v>2121</v>
      </c>
      <c r="I62" t="s">
        <v>1893</v>
      </c>
      <c r="J62" t="s">
        <v>2122</v>
      </c>
      <c r="K62" t="s">
        <v>2123</v>
      </c>
    </row>
    <row r="63" spans="1:11" ht="16" customHeight="1" x14ac:dyDescent="0.2">
      <c r="A63">
        <v>62</v>
      </c>
      <c r="B63">
        <v>1</v>
      </c>
      <c r="C63" t="s">
        <v>2124</v>
      </c>
      <c r="D63" t="s">
        <v>1907</v>
      </c>
      <c r="E63" t="s">
        <v>2125</v>
      </c>
      <c r="F63" t="s">
        <v>2126</v>
      </c>
      <c r="G63" t="s">
        <v>1889</v>
      </c>
      <c r="H63" t="s">
        <v>1889</v>
      </c>
      <c r="I63" t="s">
        <v>1893</v>
      </c>
      <c r="J63" t="s">
        <v>2127</v>
      </c>
      <c r="K63" t="s">
        <v>2128</v>
      </c>
    </row>
    <row r="64" spans="1:11" ht="16" customHeight="1" x14ac:dyDescent="0.2">
      <c r="A64">
        <v>63</v>
      </c>
      <c r="B64">
        <v>4</v>
      </c>
      <c r="C64" t="s">
        <v>2129</v>
      </c>
      <c r="D64" t="s">
        <v>2130</v>
      </c>
      <c r="E64" t="s">
        <v>2131</v>
      </c>
      <c r="F64" t="s">
        <v>2132</v>
      </c>
      <c r="G64" t="s">
        <v>2132</v>
      </c>
      <c r="H64" t="s">
        <v>2132</v>
      </c>
      <c r="I64" t="s">
        <v>1891</v>
      </c>
      <c r="J64" t="s">
        <v>1656</v>
      </c>
      <c r="K64" t="s">
        <v>2133</v>
      </c>
    </row>
    <row r="65" spans="1:11" ht="16" customHeight="1" x14ac:dyDescent="0.2">
      <c r="A65">
        <v>64</v>
      </c>
      <c r="B65">
        <v>1</v>
      </c>
      <c r="C65" t="s">
        <v>2134</v>
      </c>
      <c r="D65" t="s">
        <v>1939</v>
      </c>
      <c r="E65" t="s">
        <v>2135</v>
      </c>
      <c r="F65" t="s">
        <v>1889</v>
      </c>
      <c r="G65" t="s">
        <v>1889</v>
      </c>
      <c r="H65" t="s">
        <v>1889</v>
      </c>
      <c r="I65" t="s">
        <v>1891</v>
      </c>
      <c r="J65" t="s">
        <v>1062</v>
      </c>
      <c r="K65" t="s">
        <v>2136</v>
      </c>
    </row>
    <row r="66" spans="1:11" ht="16" customHeight="1" x14ac:dyDescent="0.2">
      <c r="A66">
        <v>65</v>
      </c>
      <c r="B66">
        <v>1</v>
      </c>
      <c r="C66" t="s">
        <v>2137</v>
      </c>
      <c r="D66" t="s">
        <v>1887</v>
      </c>
      <c r="E66" t="s">
        <v>2138</v>
      </c>
      <c r="F66" t="s">
        <v>1889</v>
      </c>
      <c r="G66" t="s">
        <v>2139</v>
      </c>
      <c r="H66" t="s">
        <v>1889</v>
      </c>
      <c r="I66" t="s">
        <v>1891</v>
      </c>
      <c r="J66" t="s">
        <v>272</v>
      </c>
      <c r="K66" t="s">
        <v>2140</v>
      </c>
    </row>
    <row r="67" spans="1:11" ht="16" customHeight="1" x14ac:dyDescent="0.2">
      <c r="A67">
        <v>66</v>
      </c>
      <c r="B67">
        <v>1</v>
      </c>
      <c r="C67" t="s">
        <v>2137</v>
      </c>
      <c r="D67" t="s">
        <v>1887</v>
      </c>
      <c r="E67" t="s">
        <v>2138</v>
      </c>
      <c r="F67" t="s">
        <v>1889</v>
      </c>
      <c r="G67" t="s">
        <v>2139</v>
      </c>
      <c r="H67" t="s">
        <v>1889</v>
      </c>
      <c r="I67" t="s">
        <v>1893</v>
      </c>
      <c r="J67" t="s">
        <v>2141</v>
      </c>
      <c r="K67" t="s">
        <v>2142</v>
      </c>
    </row>
    <row r="68" spans="1:11" ht="16" customHeight="1" x14ac:dyDescent="0.2">
      <c r="A68">
        <v>67</v>
      </c>
      <c r="B68">
        <v>1</v>
      </c>
      <c r="C68" t="s">
        <v>2143</v>
      </c>
      <c r="D68" t="s">
        <v>1887</v>
      </c>
      <c r="E68" t="s">
        <v>2144</v>
      </c>
      <c r="F68" t="s">
        <v>1889</v>
      </c>
      <c r="G68" t="s">
        <v>2145</v>
      </c>
      <c r="H68" t="s">
        <v>1889</v>
      </c>
      <c r="I68" t="s">
        <v>1891</v>
      </c>
      <c r="J68" t="s">
        <v>1344</v>
      </c>
      <c r="K68" t="s">
        <v>2146</v>
      </c>
    </row>
    <row r="69" spans="1:11" ht="16" customHeight="1" x14ac:dyDescent="0.2">
      <c r="A69">
        <v>68</v>
      </c>
      <c r="B69">
        <v>2</v>
      </c>
      <c r="C69" t="s">
        <v>2147</v>
      </c>
      <c r="D69" t="s">
        <v>2148</v>
      </c>
      <c r="E69" t="s">
        <v>2149</v>
      </c>
      <c r="F69" t="s">
        <v>1961</v>
      </c>
      <c r="G69" t="s">
        <v>2150</v>
      </c>
      <c r="H69" t="s">
        <v>1961</v>
      </c>
      <c r="I69" t="s">
        <v>1918</v>
      </c>
      <c r="J69" t="s">
        <v>2151</v>
      </c>
      <c r="K69" t="s">
        <v>2152</v>
      </c>
    </row>
    <row r="70" spans="1:11" ht="16" customHeight="1" x14ac:dyDescent="0.2">
      <c r="A70">
        <v>69</v>
      </c>
      <c r="B70">
        <v>1</v>
      </c>
      <c r="C70" t="s">
        <v>2153</v>
      </c>
      <c r="D70" t="s">
        <v>1887</v>
      </c>
      <c r="E70" t="s">
        <v>2144</v>
      </c>
      <c r="F70" t="s">
        <v>1889</v>
      </c>
      <c r="G70" t="s">
        <v>2145</v>
      </c>
      <c r="H70" t="s">
        <v>1889</v>
      </c>
      <c r="I70" t="s">
        <v>1893</v>
      </c>
      <c r="J70" t="s">
        <v>2154</v>
      </c>
      <c r="K70" t="s">
        <v>2155</v>
      </c>
    </row>
    <row r="71" spans="1:11" ht="16" customHeight="1" x14ac:dyDescent="0.2">
      <c r="A71">
        <v>70</v>
      </c>
      <c r="B71">
        <v>2</v>
      </c>
      <c r="C71" t="s">
        <v>2147</v>
      </c>
      <c r="D71" t="s">
        <v>2148</v>
      </c>
      <c r="E71" t="s">
        <v>2149</v>
      </c>
      <c r="F71" t="s">
        <v>1961</v>
      </c>
      <c r="G71" t="s">
        <v>2150</v>
      </c>
      <c r="H71" t="s">
        <v>1961</v>
      </c>
      <c r="I71" t="s">
        <v>1893</v>
      </c>
      <c r="J71" t="s">
        <v>2156</v>
      </c>
      <c r="K71" t="s">
        <v>2146</v>
      </c>
    </row>
    <row r="72" spans="1:11" ht="16" customHeight="1" x14ac:dyDescent="0.2">
      <c r="A72">
        <v>71</v>
      </c>
      <c r="B72">
        <v>1</v>
      </c>
      <c r="C72" t="s">
        <v>2157</v>
      </c>
      <c r="D72" t="s">
        <v>1939</v>
      </c>
      <c r="E72" t="s">
        <v>2158</v>
      </c>
      <c r="F72" t="s">
        <v>2159</v>
      </c>
      <c r="G72" t="s">
        <v>1889</v>
      </c>
      <c r="H72" t="s">
        <v>2160</v>
      </c>
      <c r="I72" t="s">
        <v>1891</v>
      </c>
      <c r="J72" t="s">
        <v>1580</v>
      </c>
      <c r="K72" t="s">
        <v>2161</v>
      </c>
    </row>
    <row r="73" spans="1:11" ht="16" customHeight="1" x14ac:dyDescent="0.2">
      <c r="A73">
        <v>72</v>
      </c>
      <c r="B73">
        <v>1</v>
      </c>
      <c r="C73" t="s">
        <v>2157</v>
      </c>
      <c r="D73" t="s">
        <v>1939</v>
      </c>
      <c r="E73" t="s">
        <v>2158</v>
      </c>
      <c r="F73" t="s">
        <v>2159</v>
      </c>
      <c r="G73" t="s">
        <v>1889</v>
      </c>
      <c r="H73" t="s">
        <v>2160</v>
      </c>
      <c r="I73" t="s">
        <v>2162</v>
      </c>
      <c r="J73" t="s">
        <v>2163</v>
      </c>
      <c r="K73" t="s">
        <v>2164</v>
      </c>
    </row>
    <row r="74" spans="1:11" ht="16" customHeight="1" x14ac:dyDescent="0.2">
      <c r="A74">
        <v>73</v>
      </c>
      <c r="B74">
        <v>1</v>
      </c>
      <c r="C74" t="s">
        <v>2165</v>
      </c>
      <c r="D74" t="s">
        <v>1897</v>
      </c>
      <c r="E74" t="s">
        <v>2166</v>
      </c>
      <c r="F74" t="s">
        <v>1889</v>
      </c>
      <c r="G74" t="s">
        <v>1889</v>
      </c>
      <c r="H74" t="s">
        <v>1889</v>
      </c>
      <c r="I74" t="s">
        <v>1893</v>
      </c>
      <c r="J74" t="s">
        <v>2167</v>
      </c>
      <c r="K74" s="4" t="s">
        <v>2168</v>
      </c>
    </row>
    <row r="75" spans="1:11" ht="16" customHeight="1" x14ac:dyDescent="0.2">
      <c r="A75">
        <v>74</v>
      </c>
      <c r="B75">
        <v>1</v>
      </c>
      <c r="C75" t="s">
        <v>2169</v>
      </c>
      <c r="D75" t="s">
        <v>1887</v>
      </c>
      <c r="E75" t="s">
        <v>2170</v>
      </c>
      <c r="F75" t="s">
        <v>1889</v>
      </c>
      <c r="G75" t="s">
        <v>2171</v>
      </c>
      <c r="H75" t="s">
        <v>1889</v>
      </c>
      <c r="I75" t="s">
        <v>1893</v>
      </c>
      <c r="J75" t="s">
        <v>2172</v>
      </c>
      <c r="K75" t="s">
        <v>2173</v>
      </c>
    </row>
    <row r="76" spans="1:11" ht="16" customHeight="1" x14ac:dyDescent="0.2">
      <c r="A76">
        <v>75</v>
      </c>
      <c r="B76">
        <v>1</v>
      </c>
      <c r="C76" t="s">
        <v>2174</v>
      </c>
      <c r="D76" t="s">
        <v>1939</v>
      </c>
      <c r="E76" t="s">
        <v>2113</v>
      </c>
      <c r="F76" t="s">
        <v>2175</v>
      </c>
      <c r="G76" t="s">
        <v>1889</v>
      </c>
      <c r="H76" t="s">
        <v>2176</v>
      </c>
      <c r="I76" t="s">
        <v>1891</v>
      </c>
      <c r="J76" t="s">
        <v>1462</v>
      </c>
      <c r="K76" t="s">
        <v>2177</v>
      </c>
    </row>
  </sheetData>
  <hyperlinks>
    <hyperlink ref="J11" r:id="rId1" xr:uid="{D0A9950E-F331-4B4B-8390-F79B9C738A23}"/>
    <hyperlink ref="J10" r:id="rId2" xr:uid="{6D757BA5-4870-084F-A785-A34739F0660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doc_overview</vt:lpstr>
      <vt:lpstr>raw_text_with_url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Peerachai Banyongrakkul</cp:lastModifiedBy>
  <dcterms:created xsi:type="dcterms:W3CDTF">2026-02-25T15:12:42Z</dcterms:created>
  <dcterms:modified xsi:type="dcterms:W3CDTF">2026-04-11T05:20:31Z</dcterms:modified>
</cp:coreProperties>
</file>